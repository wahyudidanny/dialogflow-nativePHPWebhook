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F69" i="1"/>
  <c r="F71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F19"/>
  <c r="F17"/>
  <c r="F15"/>
  <c r="F11"/>
  <c r="B65" i="13" l="1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A6" i="13"/>
  <c r="B13" i="1"/>
  <c r="C15"/>
  <c r="A8" i="13" s="1"/>
  <c r="G10" i="11"/>
  <c r="F10" s="1"/>
  <c r="D4" i="13"/>
  <c r="D5"/>
  <c r="C11" i="11"/>
  <c r="D13"/>
  <c r="C17" i="1" l="1"/>
  <c r="B17" s="1"/>
  <c r="B6" i="13"/>
  <c r="C6" s="1"/>
  <c r="D6" s="1"/>
  <c r="B7"/>
  <c r="K5" i="2"/>
  <c r="B15" i="1"/>
  <c r="E10" i="11"/>
  <c r="H4" i="13"/>
  <c r="E4"/>
  <c r="K3" i="2" s="1"/>
  <c r="C13" i="11"/>
  <c r="D15"/>
  <c r="C19" i="1" l="1"/>
  <c r="B19" s="1"/>
  <c r="A10" i="13"/>
  <c r="B8"/>
  <c r="C8" s="1"/>
  <c r="D8" s="1"/>
  <c r="B9"/>
  <c r="C7"/>
  <c r="G7" s="1"/>
  <c r="F7"/>
  <c r="G12" i="11" s="1"/>
  <c r="E12" s="1"/>
  <c r="F6" i="13"/>
  <c r="G11" i="11" s="1"/>
  <c r="K7" i="2"/>
  <c r="G6" i="13"/>
  <c r="E9" i="11"/>
  <c r="D17"/>
  <c r="C15"/>
  <c r="A12" i="13" l="1"/>
  <c r="C21" i="1"/>
  <c r="B21" s="1"/>
  <c r="B12" i="13"/>
  <c r="C12" s="1"/>
  <c r="G12" s="1"/>
  <c r="B13"/>
  <c r="B10"/>
  <c r="C10" s="1"/>
  <c r="B11"/>
  <c r="F8"/>
  <c r="G13" i="11" s="1"/>
  <c r="C9" i="13"/>
  <c r="G9" s="1"/>
  <c r="F9"/>
  <c r="G14" i="11" s="1"/>
  <c r="D7" i="13"/>
  <c r="F12" i="11"/>
  <c r="G8" i="13"/>
  <c r="K9" i="2"/>
  <c r="F9" i="11"/>
  <c r="H9" s="1"/>
  <c r="I9"/>
  <c r="C17"/>
  <c r="D19"/>
  <c r="K11" i="2"/>
  <c r="C23" i="1" l="1"/>
  <c r="C25" s="1"/>
  <c r="A14" i="13"/>
  <c r="H6"/>
  <c r="E6"/>
  <c r="F13" i="1" s="1"/>
  <c r="E11" i="11" s="1"/>
  <c r="I11" s="1"/>
  <c r="D9" i="13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B15" i="13"/>
  <c r="G10"/>
  <c r="D10"/>
  <c r="C19" i="11"/>
  <c r="D21"/>
  <c r="F11" l="1"/>
  <c r="H11" s="1"/>
  <c r="B23" i="1"/>
  <c r="D17" i="13" s="1"/>
  <c r="A16"/>
  <c r="H8"/>
  <c r="E8"/>
  <c r="D11"/>
  <c r="H10" s="1"/>
  <c r="I13" i="11"/>
  <c r="D13" i="13"/>
  <c r="H12" s="1"/>
  <c r="E16" i="11"/>
  <c r="E15"/>
  <c r="F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A18" i="13"/>
  <c r="C27" i="1"/>
  <c r="B25"/>
  <c r="C21" i="11"/>
  <c r="D23"/>
  <c r="D16" i="13" l="1"/>
  <c r="H16" s="1"/>
  <c r="E10"/>
  <c r="E12"/>
  <c r="H15" i="11"/>
  <c r="G21"/>
  <c r="I15"/>
  <c r="I17"/>
  <c r="H17"/>
  <c r="G18" i="13"/>
  <c r="F18"/>
  <c r="F14"/>
  <c r="G19" i="11" s="1"/>
  <c r="E19" s="1"/>
  <c r="I19" s="1"/>
  <c r="D18" i="13"/>
  <c r="E20" i="11"/>
  <c r="E16" i="13"/>
  <c r="K15" i="2" s="1"/>
  <c r="G22" i="11"/>
  <c r="B27" i="1"/>
  <c r="C29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E14" i="13" l="1"/>
  <c r="H21" i="11"/>
  <c r="F20" i="13"/>
  <c r="G25" i="11" s="1"/>
  <c r="C21" i="13"/>
  <c r="G21" s="1"/>
  <c r="F21"/>
  <c r="G26" i="11" s="1"/>
  <c r="F26" s="1"/>
  <c r="G20" i="13"/>
  <c r="D20"/>
  <c r="H14"/>
  <c r="I21" i="11"/>
  <c r="B31" i="1"/>
  <c r="C33"/>
  <c r="A24" i="13"/>
  <c r="D29" i="11"/>
  <c r="C27"/>
  <c r="E23" l="1"/>
  <c r="F23" s="1"/>
  <c r="H23" s="1"/>
  <c r="K17" i="2"/>
  <c r="D21" i="13"/>
  <c r="H20" s="1"/>
  <c r="B24"/>
  <c r="C24" s="1"/>
  <c r="B25"/>
  <c r="B22"/>
  <c r="C22" s="1"/>
  <c r="B23"/>
  <c r="E26" i="11"/>
  <c r="E25"/>
  <c r="I25" s="1"/>
  <c r="K23" i="2"/>
  <c r="K21"/>
  <c r="B33" i="1"/>
  <c r="C35"/>
  <c r="A26" i="13"/>
  <c r="C29" i="11"/>
  <c r="D31"/>
  <c r="E20" i="13" l="1"/>
  <c r="I23" i="11"/>
  <c r="B26" i="13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D35" i="11"/>
  <c r="C33"/>
  <c r="C39" i="1"/>
  <c r="A30" i="13"/>
  <c r="B37" i="1"/>
  <c r="E24" i="13" l="1"/>
  <c r="E22"/>
  <c r="F29" i="1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F36"/>
  <c r="B35" i="13"/>
  <c r="D33"/>
  <c r="D32"/>
  <c r="H30"/>
  <c r="G38" i="11"/>
  <c r="F38" s="1"/>
  <c r="D41"/>
  <c r="C39"/>
  <c r="C45" i="1"/>
  <c r="B43"/>
  <c r="A36" i="13"/>
  <c r="H35" i="11" l="1"/>
  <c r="E28" i="13"/>
  <c r="I33" i="11"/>
  <c r="H33"/>
  <c r="C35" i="13"/>
  <c r="G35" s="1"/>
  <c r="F35"/>
  <c r="G40" i="11" s="1"/>
  <c r="I35"/>
  <c r="K33" i="2"/>
  <c r="B34" i="13"/>
  <c r="C34" s="1"/>
  <c r="E32"/>
  <c r="H32"/>
  <c r="E38" i="11"/>
  <c r="D43"/>
  <c r="C41"/>
  <c r="C47" i="1"/>
  <c r="B45"/>
  <c r="A38" i="13"/>
  <c r="E37" i="11" l="1"/>
  <c r="F37" s="1"/>
  <c r="H37" s="1"/>
  <c r="K31" i="2"/>
  <c r="F40" i="11"/>
  <c r="E40"/>
  <c r="B36" i="13"/>
  <c r="C36" s="1"/>
  <c r="B37"/>
  <c r="F34"/>
  <c r="G39" i="11" s="1"/>
  <c r="E39" s="1"/>
  <c r="I39" s="1"/>
  <c r="K35" i="2"/>
  <c r="G34" i="13"/>
  <c r="D35"/>
  <c r="D34"/>
  <c r="B39"/>
  <c r="C43" i="11"/>
  <c r="D45"/>
  <c r="A40" i="13"/>
  <c r="B47" i="1"/>
  <c r="C49"/>
  <c r="I37" i="11" l="1"/>
  <c r="E34" i="13"/>
  <c r="C39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H34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C53" i="1"/>
  <c r="A44" i="13"/>
  <c r="B51" i="1"/>
  <c r="C47" i="11"/>
  <c r="D49"/>
  <c r="E36" i="13" l="1"/>
  <c r="I41" i="1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38" l="1"/>
  <c r="E45" i="11"/>
  <c r="I45" s="1"/>
  <c r="E46"/>
  <c r="D41" i="13"/>
  <c r="H40" s="1"/>
  <c r="F42"/>
  <c r="G47" i="11" s="1"/>
  <c r="C43" i="13"/>
  <c r="G43" s="1"/>
  <c r="F43"/>
  <c r="G48" i="11" s="1"/>
  <c r="G49"/>
  <c r="E44" i="13"/>
  <c r="K43" i="2" s="1"/>
  <c r="H38" i="13"/>
  <c r="G46"/>
  <c r="F46"/>
  <c r="G42"/>
  <c r="D42"/>
  <c r="D47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B48"/>
  <c r="C48" s="1"/>
  <c r="D48" s="1"/>
  <c r="B49"/>
  <c r="E49" i="11"/>
  <c r="I49" s="1"/>
  <c r="H46" i="13"/>
  <c r="E46"/>
  <c r="K45" i="2" s="1"/>
  <c r="F50" i="11"/>
  <c r="E50"/>
  <c r="G52"/>
  <c r="K47" i="2"/>
  <c r="C59" i="1"/>
  <c r="B57"/>
  <c r="A50" i="13"/>
  <c r="D55" i="11"/>
  <c r="C53"/>
  <c r="E42" i="13" l="1"/>
  <c r="H47" i="1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E54"/>
  <c r="C51" i="13"/>
  <c r="G51" s="1"/>
  <c r="F51"/>
  <c r="G56" i="11" s="1"/>
  <c r="E56" s="1"/>
  <c r="G50" i="13"/>
  <c r="F50"/>
  <c r="G55" i="11" s="1"/>
  <c r="D51" i="13"/>
  <c r="D49"/>
  <c r="I51" i="11"/>
  <c r="D59"/>
  <c r="C57"/>
  <c r="B61" i="1"/>
  <c r="A54" i="13"/>
  <c r="C63" i="1"/>
  <c r="H51" i="11"/>
  <c r="H53" l="1"/>
  <c r="H50" i="13"/>
  <c r="E50"/>
  <c r="H48"/>
  <c r="E48"/>
  <c r="I53" i="11"/>
  <c r="E55"/>
  <c r="F55" s="1"/>
  <c r="B52" i="13"/>
  <c r="C52" s="1"/>
  <c r="B53"/>
  <c r="F56" i="11"/>
  <c r="K51" i="2"/>
  <c r="A56" i="13"/>
  <c r="B63" i="1"/>
  <c r="C65"/>
  <c r="D61" i="11"/>
  <c r="C59"/>
  <c r="H55" l="1"/>
  <c r="I55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E54" s="1"/>
  <c r="D55"/>
  <c r="F58"/>
  <c r="G63" i="11" s="1"/>
  <c r="G56" i="13"/>
  <c r="D56"/>
  <c r="D57"/>
  <c r="A62"/>
  <c r="B69" i="1"/>
  <c r="C71"/>
  <c r="B71" s="1"/>
  <c r="D67" i="11"/>
  <c r="C65"/>
  <c r="G66" s="1"/>
  <c r="G64"/>
  <c r="E56" i="13" l="1"/>
  <c r="F61" i="11"/>
  <c r="H61" s="1"/>
  <c r="F59"/>
  <c r="H59" s="1"/>
  <c r="F60" i="13"/>
  <c r="G65" i="11" s="1"/>
  <c r="H56" i="13"/>
  <c r="G58"/>
  <c r="D59"/>
  <c r="D58"/>
  <c r="H54"/>
  <c r="F66" i="11"/>
  <c r="E66"/>
  <c r="F64"/>
  <c r="E64"/>
  <c r="D69"/>
  <c r="C67"/>
  <c r="A64" i="13"/>
  <c r="D65"/>
  <c r="K63" i="2"/>
  <c r="D64" i="13"/>
  <c r="E64" l="1"/>
  <c r="B62"/>
  <c r="C62" s="1"/>
  <c r="B63"/>
  <c r="K61" i="2"/>
  <c r="H58" i="13"/>
  <c r="E58"/>
  <c r="G60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K59" i="2" s="1"/>
  <c r="F19"/>
  <c r="U72" i="1" s="1"/>
  <c r="G62" i="13"/>
  <c r="D62"/>
  <c r="H60"/>
  <c r="G70" i="11"/>
  <c r="E69" s="1"/>
  <c r="F77" i="1" l="1"/>
  <c r="E77" s="1"/>
  <c r="I63" i="11"/>
  <c r="E67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E62" i="13" l="1"/>
  <c r="F67" i="1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<sst xmlns="http://schemas.openxmlformats.org/spreadsheetml/2006/main" count="597" uniqueCount="218">
  <si>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</si>
  <si>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</si>
  <si>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</si>
  <si>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</si>
  <si>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</si>
  <si>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</si>
  <si>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</si>
  <si>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</si>
  <si>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</si>
  <si>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</si>
  <si>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</si>
  <si>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</si>
  <si>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</si>
  <si>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</si>
  <si>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</si>
  <si>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</si>
  <si>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</si>
  <si>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</si>
  <si>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</si>
  <si>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</si>
  <si>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</si>
  <si>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</si>
  <si>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</si>
  <si>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</si>
  <si>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</si>
  <si>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</si>
  <si>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</si>
  <si>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</si>
  <si>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</si>
  <si>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</si>
  <si>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</si>
  <si>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</si>
  <si>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</si>
  <si>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</si>
  <si>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</si>
  <si>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</si>
  <si>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</si>
  <si>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</si>
  <si>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</si>
  <si>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</si>
  <si>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</si>
  <si>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</si>
  <si>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</si>
  <si>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</si>
  <si>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</si>
  <si>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</si>
  <si>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</si>
  <si>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</si>
  <si>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</si>
  <si>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</si>
  <si>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</si>
  <si>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</si>
  <si>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</si>
  <si>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</si>
  <si>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</si>
  <si>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</si>
  <si>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</si>
  <si>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</si>
  <si>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</si>
  <si>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</si>
  <si>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</si>
  <si>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</si>
  <si>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</si>
  <si>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</si>
  <si>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</si>
  <si>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</si>
  <si>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</si>
  <si>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</si>
  <si>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</si>
  <si>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</si>
  <si>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</si>
  <si>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</si>
  <si>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</si>
  <si>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</si>
  <si>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</si>
  <si>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</si>
  <si>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</si>
  <si>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</si>
  <si>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</si>
  <si>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</si>
  <si>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</si>
  <si>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</si>
  <si>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</si>
  <si>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</si>
  <si>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</si>
  <si>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</si>
  <si>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</si>
  <si>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</si>
  <si>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</si>
  <si>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</si>
  <si>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</si>
  <si>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</si>
  <si>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</si>
  <si>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</si>
  <si>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</si>
  <si>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</si>
  <si>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</si>
  <si>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</si>
  <si>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</si>
  <si>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</si>
  <si>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</si>
  <si>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</si>
  <si>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</si>
  <si>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</si>
  <si>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</si>
  <si>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</si>
  <si>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</si>
  <si>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</si>
  <si>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</si>
  <si>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</si>
  <si>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</si>
  <si>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</si>
  <si>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</si>
  <si>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</si>
  <si>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</si>
  <si>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</si>
  <si>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</si>
  <si>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</si>
  <si>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</si>
  <si>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</si>
  <si>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</si>
  <si>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</si>
  <si>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</si>
  <si>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</si>
  <si>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</si>
  <si>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</si>
  <si>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</si>
  <si>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</si>
  <si>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</si>
  <si>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</si>
  <si>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</si>
  <si>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</si>
  <si>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</si>
  <si>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</si>
  <si>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</si>
  <si>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</si>
  <si>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</si>
  <si>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</si>
  <si>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</si>
  <si>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</si>
  <si>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</si>
  <si>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</si>
  <si>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</si>
  <si>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</si>
  <si>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</si>
  <si>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</si>
  <si>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</si>
  <si>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</si>
  <si>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</si>
  <si>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</si>
  <si>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</si>
  <si>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</si>
  <si>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</si>
  <si>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</si>
  <si>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</si>
  <si>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</si>
  <si>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</si>
  <si>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</si>
  <si>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</si>
  <si>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</si>
  <si>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</si>
  <si>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</si>
  <si>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</si>
  <si>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</si>
  <si>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</si>
  <si>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</si>
  <si>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</si>
  <si>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</si>
  <si>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</si>
  <si>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</si>
  <si>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</si>
  <si>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</si>
  <si>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</si>
  <si>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</si>
  <si>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</si>
  <si>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</si>
  <si>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</si>
  <si>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</si>
  <si>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</si>
  <si>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</si>
  <si>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</si>
  <si>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</si>
  <si>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</si>
  <si>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</si>
  <si>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</si>
  <si>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</si>
  <si>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</si>
  <si>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</si>
  <si>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</si>
  <si>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</si>
  <si>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</si>
  <si>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</si>
  <si>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</si>
  <si>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</si>
  <si>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</si>
  <si>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</si>
  <si>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</si>
  <si>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</si>
  <si>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</si>
  <si>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</si>
  <si>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</si>
  <si>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</si>
  <si>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</si>
  <si>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</si>
  <si>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</si>
  <si>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</si>
  <si>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</si>
  <si>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</si>
  <si>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</si>
  <si>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</si>
  <si>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</si>
  <si>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</si>
  <si>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</si>
  <si>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</si>
  <si>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</si>
  <si>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Sapta sarana Sejahtera (Exim Bank)</t>
  </si>
  <si>
    <t>6. Should you have any queries, please feel free to ask TE Ops (Nurlaila.Septiorini@global.ntt/ Fairuza.Hidayat@global.ntt)</t>
  </si>
  <si>
    <t>USER GUIDE for TE TIMESHEET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</si>
</sst>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workbookViewId="0">
      <selection activeCell="E6" sqref="E6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217</v>
      </c>
      <c r="B1" s="31"/>
    </row>
    <row r="3" spans="1:2" ht="20.100000000000001" customHeight="1">
      <c r="A3" s="43" t="s">
        <v>143</v>
      </c>
    </row>
    <row r="4" spans="1:2" ht="20.100000000000001" customHeight="1">
      <c r="A4" s="43" t="s">
        <v>134</v>
      </c>
    </row>
    <row r="5" spans="1:2" ht="20.100000000000001" customHeight="1">
      <c r="A5" s="43" t="s">
        <v>156</v>
      </c>
    </row>
    <row r="6" spans="1:2" ht="20.100000000000001" customHeight="1">
      <c r="A6" s="43" t="s">
        <v>157</v>
      </c>
    </row>
    <row r="7" spans="1:2" ht="20.100000000000001" customHeight="1">
      <c r="A7" s="43" t="s">
        <v>158</v>
      </c>
    </row>
    <row r="8" spans="1:2" ht="20.100000000000001" customHeight="1">
      <c r="A8" s="43" t="s">
        <v>216</v>
      </c>
    </row>
    <row r="9" spans="1:2" ht="20.100000000000001" customHeight="1">
      <c r="A9" s="43"/>
    </row>
    <row r="10" spans="1:2" ht="20.100000000000001" customHeight="1">
      <c r="A10" s="89" t="s">
        <v>159</v>
      </c>
    </row>
    <row r="11" spans="1:2" ht="20.100000000000001" customHeight="1">
      <c r="A11" s="43" t="s">
        <v>164</v>
      </c>
    </row>
    <row r="12" spans="1:2" ht="20.100000000000001" customHeight="1">
      <c r="A12" s="43" t="s">
        <v>165</v>
      </c>
    </row>
    <row r="13" spans="1:2" ht="20.100000000000001" customHeight="1">
      <c r="A13" s="43" t="s">
        <v>166</v>
      </c>
    </row>
    <row r="14" spans="1:2" s="88" customFormat="1" ht="20.100000000000001" customHeight="1">
      <c r="A14" s="43" t="s">
        <v>167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160</v>
      </c>
    </row>
    <row r="17" spans="1:6" s="88" customFormat="1" ht="20.100000000000001" customHeight="1">
      <c r="A17" s="87" t="s">
        <v>161</v>
      </c>
    </row>
    <row r="18" spans="1:6" s="88" customFormat="1" ht="20.100000000000001" customHeight="1">
      <c r="A18" s="87" t="s">
        <v>162</v>
      </c>
    </row>
    <row r="19" spans="1:6" s="88" customFormat="1" ht="20.100000000000001" customHeight="1">
      <c r="A19" s="87" t="s">
        <v>163</v>
      </c>
    </row>
    <row r="20" spans="1:6" ht="20.100000000000001" customHeight="1">
      <c r="A20" s="87"/>
    </row>
    <row r="21" spans="1:6" ht="20.100000000000001" customHeight="1">
      <c r="A21" s="90" t="s">
        <v>168</v>
      </c>
    </row>
    <row r="22" spans="1:6" ht="20.100000000000001" customHeight="1">
      <c r="A22" s="87"/>
    </row>
    <row r="23" spans="1:6" s="34" customFormat="1" ht="28.5" customHeight="1">
      <c r="A23" s="44" t="s">
        <v>89</v>
      </c>
      <c r="B23" s="44" t="s">
        <v>90</v>
      </c>
      <c r="C23" s="44" t="s">
        <v>132</v>
      </c>
      <c r="D23" s="45" t="s">
        <v>174</v>
      </c>
      <c r="E23" s="44" t="s">
        <v>91</v>
      </c>
      <c r="F23" s="44" t="s">
        <v>92</v>
      </c>
    </row>
    <row r="24" spans="1:6" s="37" customFormat="1" ht="140.25" customHeight="1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00000000000001" customHeight="1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4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>
      <c r="A27" s="35">
        <v>4</v>
      </c>
      <c r="B27" s="50" t="s">
        <v>181</v>
      </c>
      <c r="C27" s="48" t="s">
        <v>93</v>
      </c>
      <c r="D27" s="48" t="s">
        <v>117</v>
      </c>
      <c r="E27" s="55" t="s">
        <v>187</v>
      </c>
      <c r="F27" s="51" t="s">
        <v>188</v>
      </c>
    </row>
    <row r="28" spans="1:6" s="37" customFormat="1" ht="106.5" customHeight="1">
      <c r="A28" s="35">
        <v>5</v>
      </c>
      <c r="B28" s="47" t="s">
        <v>65</v>
      </c>
      <c r="C28" s="48" t="s">
        <v>93</v>
      </c>
      <c r="D28" s="48" t="s">
        <v>144</v>
      </c>
      <c r="E28" s="52" t="s">
        <v>98</v>
      </c>
      <c r="F28" s="51" t="s">
        <v>121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30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93</v>
      </c>
      <c r="D36" s="53" t="s">
        <v>144</v>
      </c>
      <c r="E36" s="48" t="s">
        <v>111</v>
      </c>
      <c r="F36" s="49" t="s">
        <v>122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99</v>
      </c>
      <c r="D37" s="53" t="s">
        <v>144</v>
      </c>
      <c r="E37" s="51" t="s">
        <v>123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99</v>
      </c>
      <c r="D38" s="53" t="s">
        <v>144</v>
      </c>
      <c r="E38" s="51" t="s">
        <v>124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>
      <c r="A40" s="35">
        <f t="shared" si="0"/>
        <v>17</v>
      </c>
      <c r="B40" s="50" t="s">
        <v>92</v>
      </c>
      <c r="C40" s="53" t="s">
        <v>93</v>
      </c>
      <c r="D40" s="53" t="s">
        <v>144</v>
      </c>
      <c r="E40" s="54" t="s">
        <v>113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5">
      <c r="A58" s="35">
        <f t="shared" si="0"/>
        <v>35</v>
      </c>
      <c r="B58" s="50" t="s">
        <v>138</v>
      </c>
      <c r="C58" s="53" t="s">
        <v>93</v>
      </c>
      <c r="D58" s="53" t="s">
        <v>144</v>
      </c>
      <c r="E58" s="55" t="s">
        <v>125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99</v>
      </c>
      <c r="D59" s="53" t="s">
        <v>144</v>
      </c>
      <c r="E59" s="55" t="s">
        <v>118</v>
      </c>
      <c r="F59" s="38"/>
    </row>
    <row r="60" spans="1:6" s="37" customFormat="1" ht="30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/>
    <row r="63" spans="1:6" ht="20.100000000000001" customHeight="1">
      <c r="A63" s="91" t="s">
        <v>169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90</v>
      </c>
      <c r="C65" s="44" t="s">
        <v>132</v>
      </c>
      <c r="D65" s="45" t="s">
        <v>174</v>
      </c>
      <c r="E65" s="44" t="s">
        <v>91</v>
      </c>
      <c r="F65" s="44" t="s">
        <v>92</v>
      </c>
    </row>
    <row r="66" spans="1:6" ht="20.100000000000001" customHeight="1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173</v>
      </c>
    </row>
    <row r="67" spans="1:6" ht="20.100000000000001" customHeight="1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173</v>
      </c>
    </row>
    <row r="68" spans="1:6" ht="20.100000000000001" customHeight="1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173</v>
      </c>
    </row>
    <row r="69" spans="1:6" ht="20.100000000000001" customHeight="1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173</v>
      </c>
    </row>
    <row r="70" spans="1:6" ht="20.100000000000001" customHeight="1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173</v>
      </c>
    </row>
    <row r="71" spans="1:6" ht="20.100000000000001" customHeight="1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173</v>
      </c>
    </row>
    <row r="72" spans="1:6" ht="20.100000000000001" customHeight="1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173</v>
      </c>
    </row>
    <row r="73" spans="1:6" ht="20.100000000000001" customHeight="1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173</v>
      </c>
    </row>
    <row r="74" spans="1:6" ht="78.75" customHeight="1">
      <c r="A74" s="35">
        <v>9</v>
      </c>
      <c r="B74" s="50" t="s">
        <v>170</v>
      </c>
      <c r="C74" s="53" t="s">
        <v>93</v>
      </c>
      <c r="D74" s="48" t="s">
        <v>117</v>
      </c>
      <c r="E74" s="92" t="s">
        <v>98</v>
      </c>
      <c r="F74" s="36" t="s">
        <v>95</v>
      </c>
    </row>
    <row r="75" spans="1:6" ht="20.100000000000001" customHeight="1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00000000000001" customHeight="1">
      <c r="A76" s="35">
        <v>11</v>
      </c>
      <c r="B76" s="50" t="s">
        <v>171</v>
      </c>
      <c r="C76" s="53" t="s">
        <v>99</v>
      </c>
      <c r="D76" s="48" t="s">
        <v>117</v>
      </c>
      <c r="E76" s="54" t="s">
        <v>114</v>
      </c>
      <c r="F76" s="49"/>
    </row>
    <row r="77" spans="1:6" ht="20.100000000000001" customHeight="1">
      <c r="A77" s="35">
        <v>12</v>
      </c>
      <c r="B77" s="50" t="s">
        <v>172</v>
      </c>
      <c r="C77" s="53" t="s">
        <v>99</v>
      </c>
      <c r="D77" s="48" t="s">
        <v>117</v>
      </c>
      <c r="E77" s="55" t="s">
        <v>114</v>
      </c>
      <c r="F77" s="36"/>
    </row>
    <row r="78" spans="1:6" ht="20.100000000000001" customHeight="1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00000000000001" customHeight="1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00000000000001" customHeight="1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00000000000001" customHeight="1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00000000000001" customHeight="1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00000000000001" customHeight="1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173</v>
      </c>
    </row>
    <row r="84" spans="1:6" ht="19.5" customHeight="1">
      <c r="A84" s="35">
        <v>19</v>
      </c>
      <c r="B84" s="47" t="s">
        <v>11</v>
      </c>
      <c r="C84" s="53" t="s">
        <v>99</v>
      </c>
      <c r="D84" s="48" t="s">
        <v>144</v>
      </c>
      <c r="E84" s="55" t="s">
        <v>116</v>
      </c>
      <c r="F84" s="49"/>
    </row>
    <row r="85" spans="1:6" ht="19.5" customHeight="1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00000000000001" customHeight="1">
      <c r="A86" s="35">
        <v>21</v>
      </c>
      <c r="B86" s="47" t="s">
        <v>11</v>
      </c>
      <c r="C86" s="53" t="s">
        <v>99</v>
      </c>
      <c r="D86" s="48" t="s">
        <v>144</v>
      </c>
      <c r="E86" s="55" t="s">
        <v>118</v>
      </c>
      <c r="F86" s="38"/>
    </row>
    <row r="87" spans="1:6" ht="35.25" customHeight="1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00000000000001" customHeight="1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140</v>
      </c>
    </row>
    <row r="23" spans="1:1">
      <c r="A23" s="41" t="s">
        <v>141</v>
      </c>
    </row>
    <row r="48" spans="1:1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84" zoomScaleNormal="85" zoomScalePageLayoutView="84" workbookViewId="0">
      <selection activeCell="J13" sqref="J13:M13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0" t="s">
        <v>182</v>
      </c>
    </row>
    <row r="5" spans="1:21" ht="15" customHeight="1">
      <c r="B5" s="123" t="s">
        <v>181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0" t="s">
        <v>183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0" t="s">
        <v>184</v>
      </c>
    </row>
    <row r="7" spans="1:21" ht="15" customHeight="1">
      <c r="B7" s="157" t="s">
        <v>3</v>
      </c>
      <c r="C7" s="157"/>
      <c r="D7" s="161">
        <v>44287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5"/>
    </row>
    <row r="11" spans="1:21" s="66" customFormat="1" ht="18" customHeight="1">
      <c r="A11" s="67"/>
      <c r="B11" s="153" t="str">
        <f>CHOOSE(WEEKDAY(C11),"Sunday","Monday","Tuesday","Wednesday","Thursday","Friday","Saturday")</f>
        <v>Thursday</v>
      </c>
      <c r="C11" s="158">
        <f>D7</f>
        <v>44287</v>
      </c>
      <c r="D11" s="39"/>
      <c r="E11" s="39"/>
      <c r="F11" s="14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3" t="s">
        <v>207</v>
      </c>
      <c r="H11" s="145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8"/>
      <c r="K11" s="129"/>
      <c r="L11" s="129"/>
      <c r="M11" s="130"/>
      <c r="N11" s="132"/>
      <c r="O11" s="132"/>
      <c r="P11" s="132"/>
      <c r="Q11" s="132"/>
      <c r="R11" s="132"/>
      <c r="S11" s="99"/>
      <c r="T11" s="138"/>
      <c r="U11" s="115"/>
    </row>
    <row r="12" spans="1:21" s="66" customFormat="1" ht="18" customHeight="1">
      <c r="A12" s="67"/>
      <c r="B12" s="154"/>
      <c r="C12" s="159"/>
      <c r="D12" s="39"/>
      <c r="E12" s="39"/>
      <c r="F12" s="147"/>
      <c r="G12" s="144"/>
      <c r="H12" s="145"/>
      <c r="I12" s="147"/>
      <c r="J12" s="128"/>
      <c r="K12" s="129"/>
      <c r="L12" s="129"/>
      <c r="M12" s="130"/>
      <c r="N12" s="132"/>
      <c r="O12" s="132"/>
      <c r="P12" s="132"/>
      <c r="Q12" s="132"/>
      <c r="R12" s="132"/>
      <c r="S12" s="75"/>
      <c r="T12" s="138"/>
      <c r="U12" s="115"/>
    </row>
    <row r="13" spans="1:21" s="66" customFormat="1" ht="18" customHeight="1">
      <c r="B13" s="155" t="str">
        <f t="shared" ref="B13:B69" si="2">CHOOSE(WEEKDAY(C13),"Sunday","Monday","Tuesday","Wednesday","Thursday","Friday","Saturday")</f>
        <v>Friday</v>
      </c>
      <c r="C13" s="152">
        <f>C11+1</f>
        <v>44288</v>
      </c>
      <c r="D13" s="118"/>
      <c r="E13" s="118"/>
      <c r="F13" s="141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8" t="s">
        <v>207</v>
      </c>
      <c r="H13" s="15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1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35"/>
      <c r="K13" s="136"/>
      <c r="L13" s="136"/>
      <c r="M13" s="137"/>
      <c r="N13" s="134"/>
      <c r="O13" s="134"/>
      <c r="P13" s="134"/>
      <c r="Q13" s="134"/>
      <c r="R13" s="134"/>
      <c r="S13" s="75"/>
      <c r="T13" s="76"/>
      <c r="U13" s="115"/>
    </row>
    <row r="14" spans="1:21" s="66" customFormat="1" ht="18" customHeight="1">
      <c r="B14" s="156"/>
      <c r="C14" s="152"/>
      <c r="D14" s="118"/>
      <c r="E14" s="118"/>
      <c r="F14" s="142"/>
      <c r="G14" s="149"/>
      <c r="H14" s="150"/>
      <c r="I14" s="142"/>
      <c r="J14" s="135"/>
      <c r="K14" s="136"/>
      <c r="L14" s="136"/>
      <c r="M14" s="137"/>
      <c r="N14" s="134"/>
      <c r="O14" s="134"/>
      <c r="P14" s="134"/>
      <c r="Q14" s="134"/>
      <c r="R14" s="134"/>
      <c r="S14" s="75"/>
      <c r="T14" s="76"/>
      <c r="U14" s="115"/>
    </row>
    <row r="15" spans="1:21" s="66" customFormat="1" ht="18" customHeight="1">
      <c r="B15" s="155" t="str">
        <f t="shared" si="2"/>
        <v>Saturday</v>
      </c>
      <c r="C15" s="152">
        <f t="shared" ref="C15" si="5">C13+1</f>
        <v>44289</v>
      </c>
      <c r="D15" s="118"/>
      <c r="E15" s="118"/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8" t="s">
        <v>207</v>
      </c>
      <c r="H15" s="15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35"/>
      <c r="K15" s="136"/>
      <c r="L15" s="136"/>
      <c r="M15" s="137"/>
      <c r="N15" s="133"/>
      <c r="O15" s="134"/>
      <c r="P15" s="134"/>
      <c r="Q15" s="134"/>
      <c r="R15" s="134"/>
      <c r="S15" s="74"/>
      <c r="T15" s="76"/>
      <c r="U15" s="115"/>
    </row>
    <row r="16" spans="1:21" s="66" customFormat="1" ht="18" customHeight="1">
      <c r="B16" s="156"/>
      <c r="C16" s="152"/>
      <c r="D16" s="118"/>
      <c r="E16" s="118"/>
      <c r="F16" s="142"/>
      <c r="G16" s="149"/>
      <c r="H16" s="150"/>
      <c r="I16" s="142"/>
      <c r="J16" s="135"/>
      <c r="K16" s="136"/>
      <c r="L16" s="136"/>
      <c r="M16" s="137"/>
      <c r="N16" s="134"/>
      <c r="O16" s="134"/>
      <c r="P16" s="134"/>
      <c r="Q16" s="134"/>
      <c r="R16" s="134"/>
      <c r="S16" s="74"/>
      <c r="U16" s="115"/>
    </row>
    <row r="17" spans="2:21" s="66" customFormat="1" ht="18" customHeight="1">
      <c r="B17" s="155" t="str">
        <f t="shared" si="2"/>
        <v>Sunday</v>
      </c>
      <c r="C17" s="152">
        <f t="shared" ref="C17" si="8">C15+1</f>
        <v>44290</v>
      </c>
      <c r="D17" s="118"/>
      <c r="E17" s="118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8" t="s">
        <v>207</v>
      </c>
      <c r="H17" s="15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35"/>
      <c r="K17" s="136"/>
      <c r="L17" s="136"/>
      <c r="M17" s="137"/>
      <c r="N17" s="133"/>
      <c r="O17" s="134"/>
      <c r="P17" s="134"/>
      <c r="Q17" s="134"/>
      <c r="R17" s="134"/>
      <c r="S17" s="74"/>
      <c r="T17" s="69"/>
      <c r="U17" s="117"/>
    </row>
    <row r="18" spans="2:21" s="66" customFormat="1" ht="18" customHeight="1">
      <c r="B18" s="156"/>
      <c r="C18" s="152"/>
      <c r="D18" s="118"/>
      <c r="E18" s="118"/>
      <c r="F18" s="142"/>
      <c r="G18" s="149"/>
      <c r="H18" s="150"/>
      <c r="I18" s="142"/>
      <c r="J18" s="135"/>
      <c r="K18" s="136"/>
      <c r="L18" s="136"/>
      <c r="M18" s="137"/>
      <c r="N18" s="133"/>
      <c r="O18" s="134"/>
      <c r="P18" s="134"/>
      <c r="Q18" s="134"/>
      <c r="R18" s="134"/>
      <c r="S18" s="74"/>
      <c r="T18" s="69"/>
      <c r="U18" s="117"/>
    </row>
    <row r="19" spans="2:21" s="67" customFormat="1" ht="18" customHeight="1">
      <c r="B19" s="153" t="str">
        <f t="shared" si="2"/>
        <v>Monday</v>
      </c>
      <c r="C19" s="151">
        <f t="shared" ref="C19" si="11">C17+1</f>
        <v>44291</v>
      </c>
      <c r="D19" s="39"/>
      <c r="E19" s="39"/>
      <c r="F19" s="14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3" t="s">
        <v>207</v>
      </c>
      <c r="H19" s="145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8"/>
      <c r="K19" s="129"/>
      <c r="L19" s="129"/>
      <c r="M19" s="130"/>
      <c r="N19" s="131"/>
      <c r="O19" s="132"/>
      <c r="P19" s="132"/>
      <c r="Q19" s="132"/>
      <c r="R19" s="132"/>
      <c r="S19" s="74"/>
      <c r="U19" s="117"/>
    </row>
    <row r="20" spans="2:21" s="67" customFormat="1" ht="18" customHeight="1">
      <c r="B20" s="154"/>
      <c r="C20" s="151"/>
      <c r="D20" s="39"/>
      <c r="E20" s="39"/>
      <c r="F20" s="147"/>
      <c r="G20" s="144"/>
      <c r="H20" s="145"/>
      <c r="I20" s="147"/>
      <c r="J20" s="128"/>
      <c r="K20" s="129"/>
      <c r="L20" s="129"/>
      <c r="M20" s="130"/>
      <c r="N20" s="131"/>
      <c r="O20" s="132"/>
      <c r="P20" s="132"/>
      <c r="Q20" s="132"/>
      <c r="R20" s="132"/>
      <c r="S20" s="74"/>
      <c r="U20" s="116"/>
    </row>
    <row r="21" spans="2:21" s="67" customFormat="1" ht="18" customHeight="1">
      <c r="B21" s="153" t="str">
        <f t="shared" si="2"/>
        <v>Tuesday</v>
      </c>
      <c r="C21" s="151">
        <f t="shared" ref="C21" si="14">C19+1</f>
        <v>44292</v>
      </c>
      <c r="D21" s="39"/>
      <c r="E21" s="39"/>
      <c r="F21" s="14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207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8"/>
      <c r="K21" s="129"/>
      <c r="L21" s="129"/>
      <c r="M21" s="130"/>
      <c r="N21" s="131"/>
      <c r="O21" s="132"/>
      <c r="P21" s="132"/>
      <c r="Q21" s="132"/>
      <c r="R21" s="132"/>
      <c r="U21" s="116"/>
    </row>
    <row r="22" spans="2:21" s="67" customFormat="1" ht="18" customHeight="1">
      <c r="B22" s="154"/>
      <c r="C22" s="151"/>
      <c r="D22" s="39"/>
      <c r="E22" s="39"/>
      <c r="F22" s="147"/>
      <c r="G22" s="144"/>
      <c r="H22" s="145"/>
      <c r="I22" s="147"/>
      <c r="J22" s="128"/>
      <c r="K22" s="129"/>
      <c r="L22" s="129"/>
      <c r="M22" s="130"/>
      <c r="N22" s="132"/>
      <c r="O22" s="132"/>
      <c r="P22" s="132"/>
      <c r="Q22" s="132"/>
      <c r="R22" s="132"/>
      <c r="U22" s="116"/>
    </row>
    <row r="23" spans="2:21" s="67" customFormat="1" ht="18" customHeight="1">
      <c r="B23" s="153" t="str">
        <f t="shared" si="2"/>
        <v>Wednesday</v>
      </c>
      <c r="C23" s="151">
        <f t="shared" ref="C23" si="17">C21+1</f>
        <v>44293</v>
      </c>
      <c r="D23" s="39"/>
      <c r="E23" s="39"/>
      <c r="F23" s="14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3" t="s">
        <v>207</v>
      </c>
      <c r="H23" s="145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6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8"/>
      <c r="K23" s="129"/>
      <c r="L23" s="129"/>
      <c r="M23" s="130"/>
      <c r="N23" s="131"/>
      <c r="O23" s="132"/>
      <c r="P23" s="132"/>
      <c r="Q23" s="132"/>
      <c r="R23" s="132"/>
      <c r="U23" s="116"/>
    </row>
    <row r="24" spans="2:21" s="67" customFormat="1" ht="18" customHeight="1">
      <c r="B24" s="154"/>
      <c r="C24" s="151"/>
      <c r="D24" s="39"/>
      <c r="E24" s="39"/>
      <c r="F24" s="147"/>
      <c r="G24" s="144"/>
      <c r="H24" s="145"/>
      <c r="I24" s="147"/>
      <c r="J24" s="128"/>
      <c r="K24" s="129"/>
      <c r="L24" s="129"/>
      <c r="M24" s="130"/>
      <c r="N24" s="132"/>
      <c r="O24" s="132"/>
      <c r="P24" s="132"/>
      <c r="Q24" s="132"/>
      <c r="R24" s="132"/>
      <c r="U24" s="116"/>
    </row>
    <row r="25" spans="2:21" s="67" customFormat="1" ht="18" customHeight="1">
      <c r="B25" s="153" t="str">
        <f t="shared" si="2"/>
        <v>Thursday</v>
      </c>
      <c r="C25" s="151">
        <f t="shared" ref="C25" si="20">C23+1</f>
        <v>44294</v>
      </c>
      <c r="D25" s="39"/>
      <c r="E25" s="39"/>
      <c r="F25" s="14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3" t="s">
        <v>207</v>
      </c>
      <c r="H25" s="145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8"/>
      <c r="K25" s="129"/>
      <c r="L25" s="129"/>
      <c r="M25" s="130"/>
      <c r="N25" s="132"/>
      <c r="O25" s="132"/>
      <c r="P25" s="132"/>
      <c r="Q25" s="132"/>
      <c r="R25" s="132"/>
      <c r="U25" s="116"/>
    </row>
    <row r="26" spans="2:21" s="67" customFormat="1" ht="18" customHeight="1">
      <c r="B26" s="154"/>
      <c r="C26" s="151"/>
      <c r="D26" s="39"/>
      <c r="E26" s="39"/>
      <c r="F26" s="147"/>
      <c r="G26" s="144"/>
      <c r="H26" s="145"/>
      <c r="I26" s="147"/>
      <c r="J26" s="128"/>
      <c r="K26" s="129"/>
      <c r="L26" s="129"/>
      <c r="M26" s="130"/>
      <c r="N26" s="132"/>
      <c r="O26" s="132"/>
      <c r="P26" s="132"/>
      <c r="Q26" s="132"/>
      <c r="R26" s="132"/>
      <c r="U26" s="116"/>
    </row>
    <row r="27" spans="2:21" s="67" customFormat="1" ht="18" customHeight="1">
      <c r="B27" s="153" t="str">
        <f t="shared" si="2"/>
        <v>Friday</v>
      </c>
      <c r="C27" s="151">
        <f t="shared" ref="C27" si="23">C25+1</f>
        <v>44295</v>
      </c>
      <c r="D27" s="39"/>
      <c r="E27" s="39"/>
      <c r="F27" s="14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207</v>
      </c>
      <c r="H27" s="145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8"/>
      <c r="K27" s="129"/>
      <c r="L27" s="129"/>
      <c r="M27" s="130"/>
      <c r="N27" s="132"/>
      <c r="O27" s="132"/>
      <c r="P27" s="132"/>
      <c r="Q27" s="132"/>
      <c r="R27" s="132"/>
      <c r="U27" s="116"/>
    </row>
    <row r="28" spans="2:21" s="67" customFormat="1" ht="18" customHeight="1">
      <c r="B28" s="154"/>
      <c r="C28" s="151"/>
      <c r="D28" s="39"/>
      <c r="E28" s="39"/>
      <c r="F28" s="147"/>
      <c r="G28" s="144"/>
      <c r="H28" s="145"/>
      <c r="I28" s="147"/>
      <c r="J28" s="128"/>
      <c r="K28" s="129"/>
      <c r="L28" s="129"/>
      <c r="M28" s="130"/>
      <c r="N28" s="132"/>
      <c r="O28" s="132"/>
      <c r="P28" s="132"/>
      <c r="Q28" s="132"/>
      <c r="R28" s="132"/>
      <c r="U28" s="116"/>
    </row>
    <row r="29" spans="2:21" s="67" customFormat="1" ht="18" customHeight="1">
      <c r="B29" s="155" t="str">
        <f t="shared" si="2"/>
        <v>Saturday</v>
      </c>
      <c r="C29" s="152">
        <f t="shared" ref="C29" si="26">C27+1</f>
        <v>44296</v>
      </c>
      <c r="D29" s="118"/>
      <c r="E29" s="118"/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8" t="s">
        <v>207</v>
      </c>
      <c r="H29" s="15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35"/>
      <c r="K29" s="136"/>
      <c r="L29" s="136"/>
      <c r="M29" s="137"/>
      <c r="N29" s="133"/>
      <c r="O29" s="134"/>
      <c r="P29" s="134"/>
      <c r="Q29" s="134"/>
      <c r="R29" s="134"/>
      <c r="U29" s="116"/>
    </row>
    <row r="30" spans="2:21" s="67" customFormat="1" ht="18" customHeight="1">
      <c r="B30" s="156"/>
      <c r="C30" s="152"/>
      <c r="D30" s="118"/>
      <c r="E30" s="118"/>
      <c r="F30" s="142"/>
      <c r="G30" s="149"/>
      <c r="H30" s="150"/>
      <c r="I30" s="142"/>
      <c r="J30" s="135"/>
      <c r="K30" s="136"/>
      <c r="L30" s="136"/>
      <c r="M30" s="137"/>
      <c r="N30" s="134"/>
      <c r="O30" s="134"/>
      <c r="P30" s="134"/>
      <c r="Q30" s="134"/>
      <c r="R30" s="134"/>
      <c r="U30" s="116"/>
    </row>
    <row r="31" spans="2:21" s="67" customFormat="1" ht="18" customHeight="1">
      <c r="B31" s="155" t="str">
        <f t="shared" si="2"/>
        <v>Sunday</v>
      </c>
      <c r="C31" s="152">
        <f t="shared" ref="C31" si="29">C29+1</f>
        <v>44297</v>
      </c>
      <c r="D31" s="118"/>
      <c r="E31" s="118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8" t="s">
        <v>207</v>
      </c>
      <c r="H31" s="150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35"/>
      <c r="K31" s="136"/>
      <c r="L31" s="136"/>
      <c r="M31" s="137"/>
      <c r="N31" s="133"/>
      <c r="O31" s="134"/>
      <c r="P31" s="134"/>
      <c r="Q31" s="134"/>
      <c r="R31" s="134"/>
      <c r="U31" s="116"/>
    </row>
    <row r="32" spans="2:21" s="67" customFormat="1" ht="18" customHeight="1">
      <c r="B32" s="156"/>
      <c r="C32" s="152"/>
      <c r="D32" s="118"/>
      <c r="E32" s="118"/>
      <c r="F32" s="142"/>
      <c r="G32" s="149"/>
      <c r="H32" s="150"/>
      <c r="I32" s="142"/>
      <c r="J32" s="135"/>
      <c r="K32" s="136"/>
      <c r="L32" s="136"/>
      <c r="M32" s="137"/>
      <c r="N32" s="133"/>
      <c r="O32" s="134"/>
      <c r="P32" s="134"/>
      <c r="Q32" s="134"/>
      <c r="R32" s="134"/>
      <c r="U32" s="116"/>
    </row>
    <row r="33" spans="2:21" s="67" customFormat="1" ht="18" customHeight="1">
      <c r="B33" s="153" t="str">
        <f t="shared" si="2"/>
        <v>Monday</v>
      </c>
      <c r="C33" s="151">
        <f t="shared" ref="C33" si="32">C31+1</f>
        <v>44298</v>
      </c>
      <c r="D33" s="39"/>
      <c r="E33" s="39"/>
      <c r="F33" s="14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3" t="s">
        <v>207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8"/>
      <c r="K33" s="129"/>
      <c r="L33" s="129"/>
      <c r="M33" s="130"/>
      <c r="N33" s="131"/>
      <c r="O33" s="132"/>
      <c r="P33" s="132"/>
      <c r="Q33" s="132"/>
      <c r="R33" s="132"/>
      <c r="U33" s="116"/>
    </row>
    <row r="34" spans="2:21" s="67" customFormat="1" ht="18" customHeight="1">
      <c r="B34" s="154"/>
      <c r="C34" s="151"/>
      <c r="D34" s="39"/>
      <c r="E34" s="39"/>
      <c r="F34" s="147"/>
      <c r="G34" s="144"/>
      <c r="H34" s="145"/>
      <c r="I34" s="147"/>
      <c r="J34" s="128"/>
      <c r="K34" s="129"/>
      <c r="L34" s="129"/>
      <c r="M34" s="130"/>
      <c r="N34" s="131"/>
      <c r="O34" s="132"/>
      <c r="P34" s="132"/>
      <c r="Q34" s="132"/>
      <c r="R34" s="132"/>
      <c r="U34" s="116"/>
    </row>
    <row r="35" spans="2:21" s="67" customFormat="1" ht="18" customHeight="1">
      <c r="B35" s="153" t="str">
        <f t="shared" si="2"/>
        <v>Tuesday</v>
      </c>
      <c r="C35" s="151">
        <f t="shared" ref="C35" si="35">C33+1</f>
        <v>44299</v>
      </c>
      <c r="D35" s="39"/>
      <c r="E35" s="39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207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8"/>
      <c r="K35" s="129"/>
      <c r="L35" s="129"/>
      <c r="M35" s="130"/>
      <c r="N35" s="131"/>
      <c r="O35" s="132"/>
      <c r="P35" s="132"/>
      <c r="Q35" s="132"/>
      <c r="R35" s="132"/>
      <c r="S35" s="86"/>
      <c r="T35" s="86"/>
      <c r="U35" s="116"/>
    </row>
    <row r="36" spans="2:21" s="67" customFormat="1" ht="18" customHeight="1">
      <c r="B36" s="154"/>
      <c r="C36" s="151"/>
      <c r="D36" s="39"/>
      <c r="E36" s="39"/>
      <c r="F36" s="147"/>
      <c r="G36" s="144"/>
      <c r="H36" s="145"/>
      <c r="I36" s="147"/>
      <c r="J36" s="128"/>
      <c r="K36" s="129"/>
      <c r="L36" s="129"/>
      <c r="M36" s="130"/>
      <c r="N36" s="132"/>
      <c r="O36" s="132"/>
      <c r="P36" s="132"/>
      <c r="Q36" s="132"/>
      <c r="R36" s="132"/>
      <c r="S36" s="86"/>
      <c r="T36" s="86"/>
      <c r="U36" s="116"/>
    </row>
    <row r="37" spans="2:21" s="67" customFormat="1" ht="18" customHeight="1">
      <c r="B37" s="153" t="str">
        <f t="shared" si="2"/>
        <v>Wednesday</v>
      </c>
      <c r="C37" s="151">
        <f t="shared" ref="C37" si="36">C35+1</f>
        <v>44300</v>
      </c>
      <c r="D37" s="39"/>
      <c r="E37" s="39"/>
      <c r="F37" s="14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3" t="s">
        <v>207</v>
      </c>
      <c r="H37" s="145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8"/>
      <c r="K37" s="129"/>
      <c r="L37" s="129"/>
      <c r="M37" s="130"/>
      <c r="N37" s="132"/>
      <c r="O37" s="132"/>
      <c r="P37" s="132"/>
      <c r="Q37" s="132"/>
      <c r="R37" s="132"/>
      <c r="S37" s="86"/>
      <c r="T37" s="86"/>
      <c r="U37" s="116"/>
    </row>
    <row r="38" spans="2:21" s="67" customFormat="1" ht="18" customHeight="1">
      <c r="B38" s="154"/>
      <c r="C38" s="151"/>
      <c r="D38" s="39"/>
      <c r="E38" s="39"/>
      <c r="F38" s="147"/>
      <c r="G38" s="144"/>
      <c r="H38" s="145"/>
      <c r="I38" s="147"/>
      <c r="J38" s="128"/>
      <c r="K38" s="129"/>
      <c r="L38" s="129"/>
      <c r="M38" s="130"/>
      <c r="N38" s="132"/>
      <c r="O38" s="132"/>
      <c r="P38" s="132"/>
      <c r="Q38" s="132"/>
      <c r="R38" s="132"/>
      <c r="S38" s="86"/>
      <c r="T38" s="86"/>
      <c r="U38" s="116"/>
    </row>
    <row r="39" spans="2:21" s="67" customFormat="1" ht="18" customHeight="1">
      <c r="B39" s="153" t="str">
        <f t="shared" si="2"/>
        <v>Thursday</v>
      </c>
      <c r="C39" s="151">
        <f t="shared" ref="C39" si="39">C37+1</f>
        <v>44301</v>
      </c>
      <c r="D39" s="39"/>
      <c r="E39" s="39"/>
      <c r="F39" s="14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3" t="s">
        <v>207</v>
      </c>
      <c r="H39" s="145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8"/>
      <c r="K39" s="129"/>
      <c r="L39" s="129"/>
      <c r="M39" s="130"/>
      <c r="N39" s="132"/>
      <c r="O39" s="132"/>
      <c r="P39" s="132"/>
      <c r="Q39" s="132"/>
      <c r="R39" s="132"/>
      <c r="U39" s="116"/>
    </row>
    <row r="40" spans="2:21" s="67" customFormat="1" ht="18" customHeight="1">
      <c r="B40" s="154"/>
      <c r="C40" s="151"/>
      <c r="D40" s="39"/>
      <c r="E40" s="39"/>
      <c r="F40" s="147"/>
      <c r="G40" s="144"/>
      <c r="H40" s="145"/>
      <c r="I40" s="147"/>
      <c r="J40" s="128"/>
      <c r="K40" s="129"/>
      <c r="L40" s="129"/>
      <c r="M40" s="130"/>
      <c r="N40" s="132"/>
      <c r="O40" s="132"/>
      <c r="P40" s="132"/>
      <c r="Q40" s="132"/>
      <c r="R40" s="132"/>
      <c r="U40" s="116"/>
    </row>
    <row r="41" spans="2:21" s="67" customFormat="1" ht="18" customHeight="1">
      <c r="B41" s="153" t="str">
        <f t="shared" si="2"/>
        <v>Friday</v>
      </c>
      <c r="C41" s="151">
        <f t="shared" ref="C41" si="42">C39+1</f>
        <v>44302</v>
      </c>
      <c r="D41" s="39"/>
      <c r="E41" s="39"/>
      <c r="F41" s="14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207</v>
      </c>
      <c r="H41" s="145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8"/>
      <c r="K41" s="129"/>
      <c r="L41" s="129"/>
      <c r="M41" s="130"/>
      <c r="N41" s="132"/>
      <c r="O41" s="132"/>
      <c r="P41" s="132"/>
      <c r="Q41" s="132"/>
      <c r="R41" s="132"/>
      <c r="U41" s="116"/>
    </row>
    <row r="42" spans="2:21" s="67" customFormat="1" ht="18" customHeight="1">
      <c r="B42" s="154"/>
      <c r="C42" s="151"/>
      <c r="D42" s="39"/>
      <c r="E42" s="39"/>
      <c r="F42" s="147"/>
      <c r="G42" s="144"/>
      <c r="H42" s="145"/>
      <c r="I42" s="147"/>
      <c r="J42" s="128"/>
      <c r="K42" s="129"/>
      <c r="L42" s="129"/>
      <c r="M42" s="130"/>
      <c r="N42" s="132"/>
      <c r="O42" s="132"/>
      <c r="P42" s="132"/>
      <c r="Q42" s="132"/>
      <c r="R42" s="132"/>
      <c r="U42" s="116"/>
    </row>
    <row r="43" spans="2:21" s="67" customFormat="1" ht="18" customHeight="1">
      <c r="B43" s="155" t="str">
        <f t="shared" si="2"/>
        <v>Saturday</v>
      </c>
      <c r="C43" s="152">
        <f t="shared" ref="C43" si="45">C41+1</f>
        <v>44303</v>
      </c>
      <c r="D43" s="118"/>
      <c r="E43" s="118"/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8" t="s">
        <v>207</v>
      </c>
      <c r="H43" s="15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35"/>
      <c r="K43" s="136"/>
      <c r="L43" s="136"/>
      <c r="M43" s="137"/>
      <c r="N43" s="133"/>
      <c r="O43" s="134"/>
      <c r="P43" s="134"/>
      <c r="Q43" s="134"/>
      <c r="R43" s="134"/>
      <c r="U43" s="116"/>
    </row>
    <row r="44" spans="2:21" s="67" customFormat="1" ht="18" customHeight="1">
      <c r="B44" s="156"/>
      <c r="C44" s="152"/>
      <c r="D44" s="118"/>
      <c r="E44" s="118"/>
      <c r="F44" s="142"/>
      <c r="G44" s="149"/>
      <c r="H44" s="150"/>
      <c r="I44" s="142"/>
      <c r="J44" s="135"/>
      <c r="K44" s="136"/>
      <c r="L44" s="136"/>
      <c r="M44" s="137"/>
      <c r="N44" s="134"/>
      <c r="O44" s="134"/>
      <c r="P44" s="134"/>
      <c r="Q44" s="134"/>
      <c r="R44" s="134"/>
      <c r="U44" s="116"/>
    </row>
    <row r="45" spans="2:21" s="67" customFormat="1" ht="18" customHeight="1">
      <c r="B45" s="155" t="str">
        <f t="shared" si="2"/>
        <v>Sunday</v>
      </c>
      <c r="C45" s="152">
        <f t="shared" ref="C45" si="48">C43+1</f>
        <v>44304</v>
      </c>
      <c r="D45" s="118"/>
      <c r="E45" s="118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8" t="s">
        <v>207</v>
      </c>
      <c r="H45" s="15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35"/>
      <c r="K45" s="136"/>
      <c r="L45" s="136"/>
      <c r="M45" s="137"/>
      <c r="N45" s="133"/>
      <c r="O45" s="134"/>
      <c r="P45" s="134"/>
      <c r="Q45" s="134"/>
      <c r="R45" s="134"/>
      <c r="U45" s="116"/>
    </row>
    <row r="46" spans="2:21" s="67" customFormat="1" ht="18" customHeight="1">
      <c r="B46" s="156"/>
      <c r="C46" s="152"/>
      <c r="D46" s="118"/>
      <c r="E46" s="118"/>
      <c r="F46" s="142"/>
      <c r="G46" s="149"/>
      <c r="H46" s="150"/>
      <c r="I46" s="142"/>
      <c r="J46" s="135"/>
      <c r="K46" s="136"/>
      <c r="L46" s="136"/>
      <c r="M46" s="137"/>
      <c r="N46" s="133"/>
      <c r="O46" s="134"/>
      <c r="P46" s="134"/>
      <c r="Q46" s="134"/>
      <c r="R46" s="134"/>
      <c r="U46" s="116"/>
    </row>
    <row r="47" spans="2:21" s="67" customFormat="1" ht="18" customHeight="1">
      <c r="B47" s="153" t="str">
        <f t="shared" si="2"/>
        <v>Monday</v>
      </c>
      <c r="C47" s="151">
        <f t="shared" ref="C47" si="51">C45+1</f>
        <v>44305</v>
      </c>
      <c r="D47" s="39"/>
      <c r="E47" s="39"/>
      <c r="F47" s="14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3" t="s">
        <v>207</v>
      </c>
      <c r="H47" s="145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8"/>
      <c r="K47" s="129"/>
      <c r="L47" s="129"/>
      <c r="M47" s="130"/>
      <c r="N47" s="131"/>
      <c r="O47" s="132"/>
      <c r="P47" s="132"/>
      <c r="Q47" s="132"/>
      <c r="R47" s="132"/>
      <c r="U47" s="116"/>
    </row>
    <row r="48" spans="2:21" s="67" customFormat="1" ht="18" customHeight="1">
      <c r="B48" s="154"/>
      <c r="C48" s="151"/>
      <c r="D48" s="39"/>
      <c r="E48" s="39"/>
      <c r="F48" s="147"/>
      <c r="G48" s="144"/>
      <c r="H48" s="145"/>
      <c r="I48" s="147"/>
      <c r="J48" s="128"/>
      <c r="K48" s="129"/>
      <c r="L48" s="129"/>
      <c r="M48" s="130"/>
      <c r="N48" s="131"/>
      <c r="O48" s="132"/>
      <c r="P48" s="132"/>
      <c r="Q48" s="132"/>
      <c r="R48" s="132"/>
      <c r="U48" s="116"/>
    </row>
    <row r="49" spans="2:21" s="67" customFormat="1" ht="18" customHeight="1">
      <c r="B49" s="153" t="str">
        <f t="shared" si="2"/>
        <v>Tuesday</v>
      </c>
      <c r="C49" s="151">
        <f t="shared" ref="C49" si="54">C47+1</f>
        <v>44306</v>
      </c>
      <c r="D49" s="39"/>
      <c r="E49" s="39"/>
      <c r="F49" s="14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207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8"/>
      <c r="K49" s="129"/>
      <c r="L49" s="129"/>
      <c r="M49" s="130"/>
      <c r="N49" s="131"/>
      <c r="O49" s="132"/>
      <c r="P49" s="132"/>
      <c r="Q49" s="132"/>
      <c r="R49" s="132"/>
      <c r="U49" s="116"/>
    </row>
    <row r="50" spans="2:21" s="67" customFormat="1" ht="18" customHeight="1">
      <c r="B50" s="154"/>
      <c r="C50" s="151"/>
      <c r="D50" s="39"/>
      <c r="E50" s="39"/>
      <c r="F50" s="147"/>
      <c r="G50" s="144"/>
      <c r="H50" s="145"/>
      <c r="I50" s="147"/>
      <c r="J50" s="128"/>
      <c r="K50" s="129"/>
      <c r="L50" s="129"/>
      <c r="M50" s="130"/>
      <c r="N50" s="132"/>
      <c r="O50" s="132"/>
      <c r="P50" s="132"/>
      <c r="Q50" s="132"/>
      <c r="R50" s="132"/>
      <c r="U50" s="116"/>
    </row>
    <row r="51" spans="2:21" s="67" customFormat="1" ht="18" customHeight="1">
      <c r="B51" s="153" t="str">
        <f t="shared" si="2"/>
        <v>Wednesday</v>
      </c>
      <c r="C51" s="151">
        <f t="shared" ref="C51" si="57">C49+1</f>
        <v>44307</v>
      </c>
      <c r="D51" s="39"/>
      <c r="E51" s="39"/>
      <c r="F51" s="14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3" t="s">
        <v>207</v>
      </c>
      <c r="H51" s="145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8"/>
      <c r="K51" s="129"/>
      <c r="L51" s="129"/>
      <c r="M51" s="130"/>
      <c r="N51" s="132"/>
      <c r="O51" s="132"/>
      <c r="P51" s="132"/>
      <c r="Q51" s="132"/>
      <c r="R51" s="132"/>
      <c r="U51" s="116"/>
    </row>
    <row r="52" spans="2:21" s="67" customFormat="1" ht="18" customHeight="1">
      <c r="B52" s="154"/>
      <c r="C52" s="151"/>
      <c r="D52" s="39"/>
      <c r="E52" s="39"/>
      <c r="F52" s="147"/>
      <c r="G52" s="144"/>
      <c r="H52" s="145"/>
      <c r="I52" s="147"/>
      <c r="J52" s="128"/>
      <c r="K52" s="129"/>
      <c r="L52" s="129"/>
      <c r="M52" s="130"/>
      <c r="N52" s="132"/>
      <c r="O52" s="132"/>
      <c r="P52" s="132"/>
      <c r="Q52" s="132"/>
      <c r="R52" s="132"/>
      <c r="U52" s="116"/>
    </row>
    <row r="53" spans="2:21" s="67" customFormat="1" ht="18" customHeight="1">
      <c r="B53" s="153" t="str">
        <f t="shared" si="2"/>
        <v>Thursday</v>
      </c>
      <c r="C53" s="151">
        <f t="shared" ref="C53" si="58">C51+1</f>
        <v>44308</v>
      </c>
      <c r="D53" s="39"/>
      <c r="E53" s="39"/>
      <c r="F53" s="14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3" t="s">
        <v>207</v>
      </c>
      <c r="H53" s="145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8"/>
      <c r="K53" s="129"/>
      <c r="L53" s="129"/>
      <c r="M53" s="130"/>
      <c r="N53" s="132"/>
      <c r="O53" s="132"/>
      <c r="P53" s="132"/>
      <c r="Q53" s="132"/>
      <c r="R53" s="132"/>
      <c r="U53" s="116"/>
    </row>
    <row r="54" spans="2:21" s="67" customFormat="1" ht="18" customHeight="1">
      <c r="B54" s="154"/>
      <c r="C54" s="151"/>
      <c r="D54" s="39"/>
      <c r="E54" s="39"/>
      <c r="F54" s="147"/>
      <c r="G54" s="144"/>
      <c r="H54" s="145"/>
      <c r="I54" s="147"/>
      <c r="J54" s="128"/>
      <c r="K54" s="129"/>
      <c r="L54" s="129"/>
      <c r="M54" s="130"/>
      <c r="N54" s="132"/>
      <c r="O54" s="132"/>
      <c r="P54" s="132"/>
      <c r="Q54" s="132"/>
      <c r="R54" s="132"/>
      <c r="U54" s="116"/>
    </row>
    <row r="55" spans="2:21" s="67" customFormat="1" ht="18" customHeight="1">
      <c r="B55" s="153" t="str">
        <f t="shared" si="2"/>
        <v>Friday</v>
      </c>
      <c r="C55" s="151">
        <f t="shared" ref="C55" si="61">C53+1</f>
        <v>44309</v>
      </c>
      <c r="D55" s="39"/>
      <c r="E55" s="39"/>
      <c r="F55" s="14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207</v>
      </c>
      <c r="H55" s="145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8"/>
      <c r="K55" s="129"/>
      <c r="L55" s="129"/>
      <c r="M55" s="130"/>
      <c r="N55" s="132"/>
      <c r="O55" s="132"/>
      <c r="P55" s="132"/>
      <c r="Q55" s="132"/>
      <c r="R55" s="132"/>
      <c r="U55" s="116"/>
    </row>
    <row r="56" spans="2:21" s="67" customFormat="1" ht="18" customHeight="1">
      <c r="B56" s="154"/>
      <c r="C56" s="151"/>
      <c r="D56" s="39"/>
      <c r="E56" s="39"/>
      <c r="F56" s="147"/>
      <c r="G56" s="144"/>
      <c r="H56" s="145"/>
      <c r="I56" s="147"/>
      <c r="J56" s="128"/>
      <c r="K56" s="129"/>
      <c r="L56" s="129"/>
      <c r="M56" s="130"/>
      <c r="N56" s="132"/>
      <c r="O56" s="132"/>
      <c r="P56" s="132"/>
      <c r="Q56" s="132"/>
      <c r="R56" s="132"/>
      <c r="U56" s="116"/>
    </row>
    <row r="57" spans="2:21" s="67" customFormat="1" ht="18" customHeight="1">
      <c r="B57" s="155" t="str">
        <f t="shared" si="2"/>
        <v>Saturday</v>
      </c>
      <c r="C57" s="152">
        <f t="shared" ref="C57" si="64">C55+1</f>
        <v>44310</v>
      </c>
      <c r="D57" s="118"/>
      <c r="E57" s="118"/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8" t="s">
        <v>207</v>
      </c>
      <c r="H57" s="15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35"/>
      <c r="K57" s="136"/>
      <c r="L57" s="136"/>
      <c r="M57" s="137"/>
      <c r="N57" s="133"/>
      <c r="O57" s="134"/>
      <c r="P57" s="134"/>
      <c r="Q57" s="134"/>
      <c r="R57" s="134"/>
      <c r="U57" s="116"/>
    </row>
    <row r="58" spans="2:21" s="67" customFormat="1" ht="18" customHeight="1">
      <c r="B58" s="156"/>
      <c r="C58" s="152"/>
      <c r="D58" s="118"/>
      <c r="E58" s="118"/>
      <c r="F58" s="142"/>
      <c r="G58" s="149"/>
      <c r="H58" s="150"/>
      <c r="I58" s="142"/>
      <c r="J58" s="135"/>
      <c r="K58" s="136"/>
      <c r="L58" s="136"/>
      <c r="M58" s="137"/>
      <c r="N58" s="134"/>
      <c r="O58" s="134"/>
      <c r="P58" s="134"/>
      <c r="Q58" s="134"/>
      <c r="R58" s="134"/>
      <c r="U58" s="116"/>
    </row>
    <row r="59" spans="2:21" s="67" customFormat="1" ht="18" customHeight="1">
      <c r="B59" s="155" t="str">
        <f t="shared" si="2"/>
        <v>Sunday</v>
      </c>
      <c r="C59" s="152">
        <f t="shared" ref="C59" si="67">C57+1</f>
        <v>44311</v>
      </c>
      <c r="D59" s="118"/>
      <c r="E59" s="118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8" t="s">
        <v>207</v>
      </c>
      <c r="H59" s="150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35"/>
      <c r="K59" s="136"/>
      <c r="L59" s="136"/>
      <c r="M59" s="137"/>
      <c r="N59" s="133"/>
      <c r="O59" s="134"/>
      <c r="P59" s="134"/>
      <c r="Q59" s="134"/>
      <c r="R59" s="134"/>
      <c r="U59" s="116"/>
    </row>
    <row r="60" spans="2:21" s="67" customFormat="1" ht="18" customHeight="1">
      <c r="B60" s="156"/>
      <c r="C60" s="152"/>
      <c r="D60" s="118"/>
      <c r="E60" s="118"/>
      <c r="F60" s="142"/>
      <c r="G60" s="149"/>
      <c r="H60" s="150"/>
      <c r="I60" s="142"/>
      <c r="J60" s="135"/>
      <c r="K60" s="136"/>
      <c r="L60" s="136"/>
      <c r="M60" s="137"/>
      <c r="N60" s="133"/>
      <c r="O60" s="134"/>
      <c r="P60" s="134"/>
      <c r="Q60" s="134"/>
      <c r="R60" s="134"/>
      <c r="U60" s="116"/>
    </row>
    <row r="61" spans="2:21" s="67" customFormat="1" ht="18" customHeight="1">
      <c r="B61" s="153" t="str">
        <f t="shared" si="2"/>
        <v>Monday</v>
      </c>
      <c r="C61" s="151">
        <f t="shared" ref="C61" si="70">C59+1</f>
        <v>44312</v>
      </c>
      <c r="D61" s="39"/>
      <c r="E61" s="39"/>
      <c r="F61" s="14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3" t="s">
        <v>207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8"/>
      <c r="K61" s="129"/>
      <c r="L61" s="129"/>
      <c r="M61" s="130"/>
      <c r="N61" s="131"/>
      <c r="O61" s="132"/>
      <c r="P61" s="132"/>
      <c r="Q61" s="132"/>
      <c r="R61" s="132"/>
      <c r="U61" s="116"/>
    </row>
    <row r="62" spans="2:21" s="67" customFormat="1" ht="18" customHeight="1">
      <c r="B62" s="154"/>
      <c r="C62" s="151"/>
      <c r="D62" s="39"/>
      <c r="E62" s="39"/>
      <c r="F62" s="147"/>
      <c r="G62" s="144"/>
      <c r="H62" s="145"/>
      <c r="I62" s="147"/>
      <c r="J62" s="128"/>
      <c r="K62" s="129"/>
      <c r="L62" s="129"/>
      <c r="M62" s="130"/>
      <c r="N62" s="131"/>
      <c r="O62" s="132"/>
      <c r="P62" s="132"/>
      <c r="Q62" s="132"/>
      <c r="R62" s="132"/>
      <c r="U62" s="116"/>
    </row>
    <row r="63" spans="2:21" s="67" customFormat="1" ht="18" customHeight="1">
      <c r="B63" s="153" t="str">
        <f t="shared" si="2"/>
        <v>Tuesday</v>
      </c>
      <c r="C63" s="151">
        <f t="shared" ref="C63" si="73">C61+1</f>
        <v>44313</v>
      </c>
      <c r="D63" s="39"/>
      <c r="E63" s="39"/>
      <c r="F63" s="14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207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8"/>
      <c r="K63" s="129"/>
      <c r="L63" s="129"/>
      <c r="M63" s="130"/>
      <c r="N63" s="131"/>
      <c r="O63" s="132"/>
      <c r="P63" s="132"/>
      <c r="Q63" s="132"/>
      <c r="R63" s="132"/>
      <c r="U63" s="116"/>
    </row>
    <row r="64" spans="2:21" s="67" customFormat="1" ht="18" customHeight="1">
      <c r="B64" s="154"/>
      <c r="C64" s="151"/>
      <c r="D64" s="39"/>
      <c r="E64" s="39"/>
      <c r="F64" s="147"/>
      <c r="G64" s="144"/>
      <c r="H64" s="145"/>
      <c r="I64" s="147"/>
      <c r="J64" s="128"/>
      <c r="K64" s="129"/>
      <c r="L64" s="129"/>
      <c r="M64" s="130"/>
      <c r="N64" s="132"/>
      <c r="O64" s="132"/>
      <c r="P64" s="132"/>
      <c r="Q64" s="132"/>
      <c r="R64" s="132"/>
      <c r="U64" s="116"/>
    </row>
    <row r="65" spans="2:23" s="67" customFormat="1" ht="18" customHeight="1">
      <c r="B65" s="153" t="str">
        <f t="shared" si="2"/>
        <v>Wednesday</v>
      </c>
      <c r="C65" s="151">
        <f t="shared" ref="C65" si="76">C63+1</f>
        <v>44314</v>
      </c>
      <c r="D65" s="39"/>
      <c r="E65" s="39"/>
      <c r="F65" s="14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3" t="s">
        <v>207</v>
      </c>
      <c r="H65" s="145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6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8"/>
      <c r="K65" s="129"/>
      <c r="L65" s="129"/>
      <c r="M65" s="130"/>
      <c r="N65" s="132"/>
      <c r="O65" s="132"/>
      <c r="P65" s="132"/>
      <c r="Q65" s="132"/>
      <c r="R65" s="132"/>
      <c r="U65" s="116"/>
    </row>
    <row r="66" spans="2:23" s="67" customFormat="1" ht="18" customHeight="1">
      <c r="B66" s="154"/>
      <c r="C66" s="151"/>
      <c r="D66" s="39"/>
      <c r="E66" s="39"/>
      <c r="F66" s="147"/>
      <c r="G66" s="144"/>
      <c r="H66" s="145"/>
      <c r="I66" s="147"/>
      <c r="J66" s="128"/>
      <c r="K66" s="129"/>
      <c r="L66" s="129"/>
      <c r="M66" s="130"/>
      <c r="N66" s="132"/>
      <c r="O66" s="132"/>
      <c r="P66" s="132"/>
      <c r="Q66" s="132"/>
      <c r="R66" s="132"/>
      <c r="U66" s="116"/>
    </row>
    <row r="67" spans="2:23" s="67" customFormat="1" ht="18" customHeight="1">
      <c r="B67" s="153" t="str">
        <f t="shared" si="2"/>
        <v>Thursday</v>
      </c>
      <c r="C67" s="151">
        <f t="shared" ref="C67" si="79">C65+1</f>
        <v>44315</v>
      </c>
      <c r="D67" s="39"/>
      <c r="E67" s="39"/>
      <c r="F67" s="14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3" t="s">
        <v>207</v>
      </c>
      <c r="H67" s="145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8"/>
      <c r="K67" s="129"/>
      <c r="L67" s="129"/>
      <c r="M67" s="130"/>
      <c r="N67" s="132"/>
      <c r="O67" s="132"/>
      <c r="P67" s="132"/>
      <c r="Q67" s="132"/>
      <c r="R67" s="132"/>
      <c r="U67" s="116"/>
    </row>
    <row r="68" spans="2:23" s="67" customFormat="1" ht="18" customHeight="1">
      <c r="B68" s="154"/>
      <c r="C68" s="151"/>
      <c r="D68" s="39"/>
      <c r="E68" s="39"/>
      <c r="F68" s="147"/>
      <c r="G68" s="144"/>
      <c r="H68" s="145"/>
      <c r="I68" s="147"/>
      <c r="J68" s="128"/>
      <c r="K68" s="129"/>
      <c r="L68" s="129"/>
      <c r="M68" s="130"/>
      <c r="N68" s="132"/>
      <c r="O68" s="132"/>
      <c r="P68" s="132"/>
      <c r="Q68" s="132"/>
      <c r="R68" s="132"/>
      <c r="U68" s="116"/>
    </row>
    <row r="69" spans="2:23" s="67" customFormat="1" ht="18" customHeight="1">
      <c r="B69" s="153" t="str">
        <f t="shared" si="2"/>
        <v>Friday</v>
      </c>
      <c r="C69" s="151">
        <f t="shared" ref="C69" si="82">C67+1</f>
        <v>44316</v>
      </c>
      <c r="D69" s="39"/>
      <c r="E69" s="39"/>
      <c r="F69" s="14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207</v>
      </c>
      <c r="H69" s="145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8"/>
      <c r="K69" s="129"/>
      <c r="L69" s="129"/>
      <c r="M69" s="130"/>
      <c r="N69" s="132"/>
      <c r="O69" s="132"/>
      <c r="P69" s="132"/>
      <c r="Q69" s="132"/>
      <c r="R69" s="132"/>
      <c r="U69" s="116"/>
    </row>
    <row r="70" spans="2:23" s="67" customFormat="1" ht="18" customHeight="1">
      <c r="B70" s="154"/>
      <c r="C70" s="151"/>
      <c r="D70" s="39"/>
      <c r="E70" s="39"/>
      <c r="F70" s="147"/>
      <c r="G70" s="144"/>
      <c r="H70" s="145"/>
      <c r="I70" s="147"/>
      <c r="J70" s="128"/>
      <c r="K70" s="129"/>
      <c r="L70" s="129"/>
      <c r="M70" s="130"/>
      <c r="N70" s="139"/>
      <c r="O70" s="139"/>
      <c r="P70" s="139"/>
      <c r="Q70" s="139"/>
      <c r="R70" s="139"/>
      <c r="U70" s="116"/>
    </row>
    <row r="71" spans="2:23" s="21" customFormat="1" ht="15" hidden="1" customHeight="1">
      <c r="B71" s="153" t="str">
        <f>CHOOSE(WEEKDAY(C71),"Sunday","Monday","Tuesday","Wednesday","Thursday","Friday","Saturday")</f>
        <v>Saturday</v>
      </c>
      <c r="C71" s="151">
        <f t="shared" ref="C71" si="85">C69+1</f>
        <v>44317</v>
      </c>
      <c r="D71" s="39"/>
      <c r="E71" s="39"/>
      <c r="F71" s="146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3" t="s">
        <v>207</v>
      </c>
      <c r="H71" s="145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6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1"/>
    </row>
    <row r="72" spans="2:23" s="21" customFormat="1" ht="15.75" hidden="1">
      <c r="B72" s="154"/>
      <c r="C72" s="151"/>
      <c r="D72" s="39"/>
      <c r="E72" s="39"/>
      <c r="F72" s="147"/>
      <c r="G72" s="144"/>
      <c r="H72" s="145"/>
      <c r="I72" s="147"/>
      <c r="J72" s="128"/>
      <c r="K72" s="129"/>
      <c r="L72" s="129"/>
      <c r="M72" s="130"/>
      <c r="N72" s="132"/>
      <c r="O72" s="132"/>
      <c r="P72" s="132"/>
      <c r="Q72" s="132"/>
      <c r="R72" s="132"/>
      <c r="U72" s="114">
        <f>List!F19</f>
        <v>21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1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1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138</v>
      </c>
      <c r="I83" s="184"/>
      <c r="J83" s="185"/>
      <c r="K83" s="183" t="s">
        <v>11</v>
      </c>
      <c r="L83" s="184"/>
      <c r="M83" s="185"/>
      <c r="N83" s="183" t="s">
        <v>139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List!B$3:B$73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43:M46 J13:M18 J29:M32 J57:M60">
      <formula1>List!H$4:H$10</formula1>
    </dataValidation>
    <dataValidation type="list" allowBlank="1" showInputMessage="1" showErrorMessage="1" sqref="J19:M28 J11:M12 J33:M42 J47:M56 J61:M72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List!B$3:B$73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80" zoomScaleNormal="90" zoomScalePageLayoutView="80" workbookViewId="0">
      <selection activeCell="J10" sqref="J10:Q10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44287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155</v>
      </c>
      <c r="H8" s="121" t="s">
        <v>147</v>
      </c>
      <c r="I8" s="121" t="s">
        <v>14</v>
      </c>
      <c r="J8" s="205" t="s">
        <v>15</v>
      </c>
      <c r="K8" s="205"/>
      <c r="L8" s="205"/>
      <c r="M8" s="205"/>
      <c r="N8" s="205"/>
      <c r="O8" s="205"/>
      <c r="P8" s="205"/>
      <c r="Q8" s="205"/>
      <c r="S8" s="77"/>
    </row>
    <row r="9" spans="2:21" ht="15" customHeight="1">
      <c r="C9" s="153" t="str">
        <f>CHOOSE(WEEKDAY(D9),"Sunday","Monday","Tuesday","Wednesday","Thursday","Friday","Saturday")</f>
        <v>Thursday</v>
      </c>
      <c r="D9" s="158">
        <f>F5</f>
        <v>44287</v>
      </c>
      <c r="E9" s="72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2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3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5"/>
      <c r="K9" s="216"/>
      <c r="L9" s="216"/>
      <c r="M9" s="216"/>
      <c r="N9" s="216"/>
      <c r="O9" s="216"/>
      <c r="P9" s="216"/>
      <c r="Q9" s="217"/>
      <c r="R9" s="11"/>
      <c r="S9" s="77"/>
      <c r="U9" s="70"/>
    </row>
    <row r="10" spans="2:21" ht="15" customHeight="1">
      <c r="C10" s="154"/>
      <c r="D10" s="159"/>
      <c r="E10" s="72">
        <f>IFERROR(IF(G10="Yes",Sheet2!B5,0),"")</f>
        <v>0</v>
      </c>
      <c r="F10" s="72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7"/>
      <c r="I10" s="214"/>
      <c r="J10" s="215"/>
      <c r="K10" s="216"/>
      <c r="L10" s="216"/>
      <c r="M10" s="216"/>
      <c r="N10" s="216"/>
      <c r="O10" s="216"/>
      <c r="P10" s="216"/>
      <c r="Q10" s="217"/>
      <c r="R10" s="11"/>
      <c r="S10" s="77"/>
      <c r="U10" s="73"/>
    </row>
    <row r="11" spans="2:21" ht="15" customHeight="1">
      <c r="C11" s="155" t="str">
        <f t="shared" ref="C11" si="0">CHOOSE(WEEKDAY(D11),"Sunday","Monday","Tuesday","Wednesday","Thursday","Friday","Saturday")</f>
        <v>Friday</v>
      </c>
      <c r="D11" s="206">
        <f>D9+1</f>
        <v>44288</v>
      </c>
      <c r="E11" s="119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9">
        <f>IFERROR(IF(E11=0,0,IF('OT Form'!G11="Yes",Sheet2!C6,0)),"")</f>
        <v>0</v>
      </c>
      <c r="G11" s="118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1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8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0"/>
      <c r="K11" s="211"/>
      <c r="L11" s="211"/>
      <c r="M11" s="211"/>
      <c r="N11" s="211"/>
      <c r="O11" s="211"/>
      <c r="P11" s="211"/>
      <c r="Q11" s="212"/>
      <c r="R11" s="11"/>
      <c r="S11" s="11"/>
      <c r="U11" s="70" t="s">
        <v>68</v>
      </c>
    </row>
    <row r="12" spans="2:21" ht="15" customHeight="1">
      <c r="C12" s="156"/>
      <c r="D12" s="207"/>
      <c r="E12" s="119">
        <f>IFERROR(IF(G12="Yes",Sheet2!B7,0),"")</f>
        <v>0</v>
      </c>
      <c r="F12" s="119">
        <f>IFERROR(IF('OT Form'!G12="Yes",Sheet2!C7,0),"")</f>
        <v>0</v>
      </c>
      <c r="G12" s="118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2"/>
      <c r="I12" s="209"/>
      <c r="J12" s="210"/>
      <c r="K12" s="211"/>
      <c r="L12" s="211"/>
      <c r="M12" s="211"/>
      <c r="N12" s="211"/>
      <c r="O12" s="211"/>
      <c r="P12" s="211"/>
      <c r="Q12" s="212"/>
      <c r="R12" s="11"/>
      <c r="S12" s="11"/>
      <c r="U12" s="70" t="s">
        <v>69</v>
      </c>
    </row>
    <row r="13" spans="2:21" s="21" customFormat="1" ht="15" customHeight="1">
      <c r="C13" s="155" t="str">
        <f t="shared" ref="C13" si="1">CHOOSE(WEEKDAY(D13),"Sunday","Monday","Tuesday","Wednesday","Thursday","Friday","Saturday")</f>
        <v>Saturday</v>
      </c>
      <c r="D13" s="206">
        <f t="shared" ref="D13" si="2">D11+1</f>
        <v>44289</v>
      </c>
      <c r="E13" s="119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9">
        <f>IFERROR(IF(E13=0,0,IF('OT Form'!G13="Yes",Sheet2!C8,0)),"")</f>
        <v>0</v>
      </c>
      <c r="G13" s="118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8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0"/>
      <c r="K13" s="211"/>
      <c r="L13" s="211"/>
      <c r="M13" s="211"/>
      <c r="N13" s="211"/>
      <c r="O13" s="211"/>
      <c r="P13" s="211"/>
      <c r="Q13" s="212"/>
      <c r="R13" s="65"/>
      <c r="S13" s="65"/>
      <c r="U13" s="71"/>
    </row>
    <row r="14" spans="2:21" s="21" customFormat="1" ht="15" customHeight="1">
      <c r="C14" s="156"/>
      <c r="D14" s="207"/>
      <c r="E14" s="119">
        <f>IFERROR(IF(G14="Yes",Sheet2!B9,0),"")</f>
        <v>0</v>
      </c>
      <c r="F14" s="119">
        <f>IFERROR(IF('OT Form'!G14="Yes",Sheet2!C9,0),"")</f>
        <v>0</v>
      </c>
      <c r="G14" s="118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9"/>
      <c r="J14" s="210"/>
      <c r="K14" s="211"/>
      <c r="L14" s="211"/>
      <c r="M14" s="211"/>
      <c r="N14" s="211"/>
      <c r="O14" s="211"/>
      <c r="P14" s="211"/>
      <c r="Q14" s="212"/>
      <c r="R14" s="65"/>
      <c r="S14" s="65"/>
      <c r="T14" s="78"/>
    </row>
    <row r="15" spans="2:21" s="21" customFormat="1" ht="15" customHeight="1">
      <c r="C15" s="155" t="str">
        <f t="shared" ref="C15" si="3">CHOOSE(WEEKDAY(D15),"Sunday","Monday","Tuesday","Wednesday","Thursday","Friday","Saturday")</f>
        <v>Sunday</v>
      </c>
      <c r="D15" s="206">
        <f t="shared" ref="D15" si="4">D13+1</f>
        <v>44290</v>
      </c>
      <c r="E15" s="119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19">
        <f>IFERROR(IF(E15=0,0,IF('OT Form'!G15="Yes",Sheet2!C10,0)),"")</f>
        <v>0</v>
      </c>
      <c r="G15" s="118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8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10"/>
      <c r="K15" s="211"/>
      <c r="L15" s="211"/>
      <c r="M15" s="211"/>
      <c r="N15" s="211"/>
      <c r="O15" s="211"/>
      <c r="P15" s="211"/>
      <c r="Q15" s="212"/>
      <c r="R15" s="65"/>
      <c r="S15" s="65"/>
    </row>
    <row r="16" spans="2:21" s="21" customFormat="1" ht="15" customHeight="1">
      <c r="C16" s="156"/>
      <c r="D16" s="207"/>
      <c r="E16" s="119">
        <f>IFERROR(IF(G16="Yes",Sheet2!B11,0),"")</f>
        <v>0</v>
      </c>
      <c r="F16" s="119">
        <f>IFERROR(IF('OT Form'!G16="Yes",Sheet2!C11,0),"")</f>
        <v>0</v>
      </c>
      <c r="G16" s="118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9"/>
      <c r="J16" s="210"/>
      <c r="K16" s="211"/>
      <c r="L16" s="211"/>
      <c r="M16" s="211"/>
      <c r="N16" s="211"/>
      <c r="O16" s="211"/>
      <c r="P16" s="211"/>
      <c r="Q16" s="212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Monday</v>
      </c>
      <c r="D17" s="158">
        <f t="shared" ref="D17" si="6">D15+1</f>
        <v>44291</v>
      </c>
      <c r="E17" s="72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2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3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5"/>
      <c r="K17" s="216"/>
      <c r="L17" s="216"/>
      <c r="M17" s="216"/>
      <c r="N17" s="216"/>
      <c r="O17" s="216"/>
      <c r="P17" s="216"/>
      <c r="Q17" s="217"/>
      <c r="S17" s="11"/>
    </row>
    <row r="18" spans="3:19" s="21" customFormat="1" ht="15" customHeight="1">
      <c r="C18" s="154"/>
      <c r="D18" s="159"/>
      <c r="E18" s="72">
        <f>IFERROR(IF(G18="Yes",Sheet2!B13,0),"")</f>
        <v>0</v>
      </c>
      <c r="F18" s="72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7"/>
      <c r="I18" s="214"/>
      <c r="J18" s="215"/>
      <c r="K18" s="216"/>
      <c r="L18" s="216"/>
      <c r="M18" s="216"/>
      <c r="N18" s="216"/>
      <c r="O18" s="216"/>
      <c r="P18" s="216"/>
      <c r="Q18" s="217"/>
      <c r="S18" s="11"/>
    </row>
    <row r="19" spans="3:19" s="21" customFormat="1" ht="15" customHeight="1">
      <c r="C19" s="153" t="str">
        <f t="shared" ref="C19" si="7">CHOOSE(WEEKDAY(D19),"Sunday","Monday","Tuesday","Wednesday","Thursday","Friday","Saturday")</f>
        <v>Tuesday</v>
      </c>
      <c r="D19" s="158">
        <f t="shared" ref="D19" si="8">D17+1</f>
        <v>44292</v>
      </c>
      <c r="E19" s="72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2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3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5"/>
      <c r="K19" s="216"/>
      <c r="L19" s="216"/>
      <c r="M19" s="216"/>
      <c r="N19" s="216"/>
      <c r="O19" s="216"/>
      <c r="P19" s="216"/>
      <c r="Q19" s="217"/>
      <c r="S19" s="11"/>
    </row>
    <row r="20" spans="3:19" s="21" customFormat="1" ht="15" customHeight="1">
      <c r="C20" s="154"/>
      <c r="D20" s="159"/>
      <c r="E20" s="72">
        <f>IFERROR(IF(G20="Yes",Sheet2!B15,0),"")</f>
        <v>0</v>
      </c>
      <c r="F20" s="72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7"/>
      <c r="I20" s="214"/>
      <c r="J20" s="215"/>
      <c r="K20" s="216"/>
      <c r="L20" s="216"/>
      <c r="M20" s="216"/>
      <c r="N20" s="216"/>
      <c r="O20" s="216"/>
      <c r="P20" s="216"/>
      <c r="Q20" s="217"/>
      <c r="S20" s="11"/>
    </row>
    <row r="21" spans="3:19" s="21" customFormat="1" ht="15" customHeight="1">
      <c r="C21" s="153" t="str">
        <f t="shared" ref="C21" si="9">CHOOSE(WEEKDAY(D21),"Sunday","Monday","Tuesday","Wednesday","Thursday","Friday","Saturday")</f>
        <v>Wednesday</v>
      </c>
      <c r="D21" s="158">
        <f t="shared" ref="D21" si="10">D19+1</f>
        <v>44293</v>
      </c>
      <c r="E21" s="72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2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3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5"/>
      <c r="K21" s="216"/>
      <c r="L21" s="216"/>
      <c r="M21" s="216"/>
      <c r="N21" s="216"/>
      <c r="O21" s="216"/>
      <c r="P21" s="216"/>
      <c r="Q21" s="217"/>
      <c r="S21" s="11"/>
    </row>
    <row r="22" spans="3:19" s="21" customFormat="1" ht="15" customHeight="1">
      <c r="C22" s="154"/>
      <c r="D22" s="159"/>
      <c r="E22" s="72">
        <f>IFERROR(IF(G22="Yes",Sheet2!B17,0),"")</f>
        <v>0</v>
      </c>
      <c r="F22" s="72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7"/>
      <c r="I22" s="214"/>
      <c r="J22" s="215"/>
      <c r="K22" s="216"/>
      <c r="L22" s="216"/>
      <c r="M22" s="216"/>
      <c r="N22" s="216"/>
      <c r="O22" s="216"/>
      <c r="P22" s="216"/>
      <c r="Q22" s="217"/>
      <c r="S22" s="11"/>
    </row>
    <row r="23" spans="3:19" s="21" customFormat="1" ht="15" customHeight="1">
      <c r="C23" s="153" t="str">
        <f t="shared" ref="C23" si="11">CHOOSE(WEEKDAY(D23),"Sunday","Monday","Tuesday","Wednesday","Thursday","Friday","Saturday")</f>
        <v>Thursday</v>
      </c>
      <c r="D23" s="158">
        <f t="shared" ref="D23" si="12">D21+1</f>
        <v>44294</v>
      </c>
      <c r="E23" s="72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2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3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5"/>
      <c r="K23" s="216"/>
      <c r="L23" s="216"/>
      <c r="M23" s="216"/>
      <c r="N23" s="216"/>
      <c r="O23" s="216"/>
      <c r="P23" s="216"/>
      <c r="Q23" s="217"/>
      <c r="S23" s="11"/>
    </row>
    <row r="24" spans="3:19" s="21" customFormat="1" ht="15" customHeight="1">
      <c r="C24" s="154"/>
      <c r="D24" s="159"/>
      <c r="E24" s="72">
        <f>IFERROR(IF(G24="Yes",Sheet2!B19,0),"")</f>
        <v>0</v>
      </c>
      <c r="F24" s="72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7"/>
      <c r="I24" s="214"/>
      <c r="J24" s="215"/>
      <c r="K24" s="216"/>
      <c r="L24" s="216"/>
      <c r="M24" s="216"/>
      <c r="N24" s="216"/>
      <c r="O24" s="216"/>
      <c r="P24" s="216"/>
      <c r="Q24" s="217"/>
      <c r="S24" s="11"/>
    </row>
    <row r="25" spans="3:19" s="21" customFormat="1" ht="15" customHeight="1">
      <c r="C25" s="153" t="str">
        <f t="shared" ref="C25" si="13">CHOOSE(WEEKDAY(D25),"Sunday","Monday","Tuesday","Wednesday","Thursday","Friday","Saturday")</f>
        <v>Friday</v>
      </c>
      <c r="D25" s="158">
        <f t="shared" ref="D25" si="14">D23+1</f>
        <v>44295</v>
      </c>
      <c r="E25" s="72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2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3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5"/>
      <c r="K25" s="216"/>
      <c r="L25" s="216"/>
      <c r="M25" s="216"/>
      <c r="N25" s="216"/>
      <c r="O25" s="216"/>
      <c r="P25" s="216"/>
      <c r="Q25" s="217"/>
      <c r="S25" s="11"/>
    </row>
    <row r="26" spans="3:19" s="21" customFormat="1" ht="15" customHeight="1">
      <c r="C26" s="154"/>
      <c r="D26" s="159"/>
      <c r="E26" s="72">
        <f>IFERROR(IF(G26="Yes",Sheet2!B21,0),"")</f>
        <v>0</v>
      </c>
      <c r="F26" s="72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7"/>
      <c r="I26" s="214"/>
      <c r="J26" s="215"/>
      <c r="K26" s="216"/>
      <c r="L26" s="216"/>
      <c r="M26" s="216"/>
      <c r="N26" s="216"/>
      <c r="O26" s="216"/>
      <c r="P26" s="216"/>
      <c r="Q26" s="217"/>
      <c r="S26" s="11"/>
    </row>
    <row r="27" spans="3:19" s="21" customFormat="1" ht="15" customHeight="1">
      <c r="C27" s="155" t="str">
        <f t="shared" ref="C27" si="15">CHOOSE(WEEKDAY(D27),"Sunday","Monday","Tuesday","Wednesday","Thursday","Friday","Saturday")</f>
        <v>Saturday</v>
      </c>
      <c r="D27" s="206">
        <f t="shared" ref="D27" si="16">D25+1</f>
        <v>44296</v>
      </c>
      <c r="E27" s="119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19">
        <f>IFERROR(IF(E27=0,0,IF('OT Form'!G27="Yes",Sheet2!C22,0)),"")</f>
        <v>0</v>
      </c>
      <c r="G27" s="118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8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0"/>
      <c r="K27" s="211"/>
      <c r="L27" s="211"/>
      <c r="M27" s="211"/>
      <c r="N27" s="211"/>
      <c r="O27" s="211"/>
      <c r="P27" s="211"/>
      <c r="Q27" s="212"/>
      <c r="S27" s="11"/>
    </row>
    <row r="28" spans="3:19" s="21" customFormat="1" ht="15" customHeight="1">
      <c r="C28" s="156"/>
      <c r="D28" s="207"/>
      <c r="E28" s="119">
        <f>IFERROR(IF(G28="Yes",Sheet2!B23,0),"")</f>
        <v>0</v>
      </c>
      <c r="F28" s="119">
        <f>IFERROR(IF('OT Form'!G28="Yes",Sheet2!C23,0),"")</f>
        <v>0</v>
      </c>
      <c r="G28" s="118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9"/>
      <c r="J28" s="210"/>
      <c r="K28" s="211"/>
      <c r="L28" s="211"/>
      <c r="M28" s="211"/>
      <c r="N28" s="211"/>
      <c r="O28" s="211"/>
      <c r="P28" s="211"/>
      <c r="Q28" s="212"/>
      <c r="S28" s="11"/>
    </row>
    <row r="29" spans="3:19" s="21" customFormat="1" ht="15" customHeight="1">
      <c r="C29" s="155" t="str">
        <f t="shared" ref="C29" si="17">CHOOSE(WEEKDAY(D29),"Sunday","Monday","Tuesday","Wednesday","Thursday","Friday","Saturday")</f>
        <v>Sunday</v>
      </c>
      <c r="D29" s="206">
        <f t="shared" ref="D29" si="18">D27+1</f>
        <v>44297</v>
      </c>
      <c r="E29" s="119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19">
        <f>IFERROR(IF(E29=0,0,IF('OT Form'!G29="Yes",Sheet2!C24,0)),"")</f>
        <v>0</v>
      </c>
      <c r="G29" s="118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8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10"/>
      <c r="K29" s="211"/>
      <c r="L29" s="211"/>
      <c r="M29" s="211"/>
      <c r="N29" s="211"/>
      <c r="O29" s="211"/>
      <c r="P29" s="211"/>
      <c r="Q29" s="212"/>
      <c r="S29" s="11"/>
    </row>
    <row r="30" spans="3:19" s="21" customFormat="1" ht="15" customHeight="1">
      <c r="C30" s="156"/>
      <c r="D30" s="207"/>
      <c r="E30" s="119">
        <f>IFERROR(IF(G30="Yes",Sheet2!B25,0),"")</f>
        <v>0</v>
      </c>
      <c r="F30" s="119">
        <f>IFERROR(IF('OT Form'!G30="Yes",Sheet2!C25,0),"")</f>
        <v>0</v>
      </c>
      <c r="G30" s="118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9"/>
      <c r="J30" s="210"/>
      <c r="K30" s="211"/>
      <c r="L30" s="211"/>
      <c r="M30" s="211"/>
      <c r="N30" s="211"/>
      <c r="O30" s="211"/>
      <c r="P30" s="211"/>
      <c r="Q30" s="212"/>
      <c r="S30" s="11"/>
    </row>
    <row r="31" spans="3:19" s="21" customFormat="1" ht="15" customHeight="1">
      <c r="C31" s="153" t="str">
        <f t="shared" ref="C31" si="19">CHOOSE(WEEKDAY(D31),"Sunday","Monday","Tuesday","Wednesday","Thursday","Friday","Saturday")</f>
        <v>Monday</v>
      </c>
      <c r="D31" s="158">
        <f t="shared" ref="D31" si="20">D29+1</f>
        <v>44298</v>
      </c>
      <c r="E31" s="72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2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3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5"/>
      <c r="K31" s="216"/>
      <c r="L31" s="216"/>
      <c r="M31" s="216"/>
      <c r="N31" s="216"/>
      <c r="O31" s="216"/>
      <c r="P31" s="216"/>
      <c r="Q31" s="217"/>
      <c r="S31" s="11"/>
    </row>
    <row r="32" spans="3:19" s="21" customFormat="1" ht="15" customHeight="1">
      <c r="C32" s="154"/>
      <c r="D32" s="159"/>
      <c r="E32" s="72">
        <f>IFERROR(IF(G32="Yes",Sheet2!B27,0),"")</f>
        <v>0</v>
      </c>
      <c r="F32" s="72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7"/>
      <c r="I32" s="214"/>
      <c r="J32" s="215"/>
      <c r="K32" s="216"/>
      <c r="L32" s="216"/>
      <c r="M32" s="216"/>
      <c r="N32" s="216"/>
      <c r="O32" s="216"/>
      <c r="P32" s="216"/>
      <c r="Q32" s="217"/>
      <c r="S32" s="11"/>
    </row>
    <row r="33" spans="3:19" s="21" customFormat="1" ht="15" customHeight="1">
      <c r="C33" s="153" t="str">
        <f t="shared" ref="C33" si="21">CHOOSE(WEEKDAY(D33),"Sunday","Monday","Tuesday","Wednesday","Thursday","Friday","Saturday")</f>
        <v>Tuesday</v>
      </c>
      <c r="D33" s="158">
        <f t="shared" ref="D33" si="22">D31+1</f>
        <v>44299</v>
      </c>
      <c r="E33" s="72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2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3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5"/>
      <c r="K33" s="216"/>
      <c r="L33" s="216"/>
      <c r="M33" s="216"/>
      <c r="N33" s="216"/>
      <c r="O33" s="216"/>
      <c r="P33" s="216"/>
      <c r="Q33" s="217"/>
      <c r="S33" s="11"/>
    </row>
    <row r="34" spans="3:19" s="21" customFormat="1" ht="15" customHeight="1">
      <c r="C34" s="154"/>
      <c r="D34" s="159"/>
      <c r="E34" s="72">
        <f>IFERROR(IF(G34="Yes",Sheet2!B29,0),"")</f>
        <v>0</v>
      </c>
      <c r="F34" s="72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4"/>
      <c r="J34" s="215"/>
      <c r="K34" s="216"/>
      <c r="L34" s="216"/>
      <c r="M34" s="216"/>
      <c r="N34" s="216"/>
      <c r="O34" s="216"/>
      <c r="P34" s="216"/>
      <c r="Q34" s="217"/>
      <c r="S34" s="11"/>
    </row>
    <row r="35" spans="3:19" s="21" customFormat="1" ht="15" customHeight="1">
      <c r="C35" s="153" t="str">
        <f t="shared" ref="C35" si="23">CHOOSE(WEEKDAY(D35),"Sunday","Monday","Tuesday","Wednesday","Thursday","Friday","Saturday")</f>
        <v>Wednesday</v>
      </c>
      <c r="D35" s="158">
        <f t="shared" ref="D35" si="24">D33+1</f>
        <v>44300</v>
      </c>
      <c r="E35" s="72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2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3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5"/>
      <c r="K35" s="216"/>
      <c r="L35" s="216"/>
      <c r="M35" s="216"/>
      <c r="N35" s="216"/>
      <c r="O35" s="216"/>
      <c r="P35" s="216"/>
      <c r="Q35" s="217"/>
      <c r="S35" s="11"/>
    </row>
    <row r="36" spans="3:19" s="21" customFormat="1" ht="15" customHeight="1">
      <c r="C36" s="154"/>
      <c r="D36" s="159"/>
      <c r="E36" s="72">
        <f>IFERROR(IF(G36="Yes",Sheet2!B31,0),"")</f>
        <v>0</v>
      </c>
      <c r="F36" s="72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7"/>
      <c r="I36" s="214"/>
      <c r="J36" s="215"/>
      <c r="K36" s="216"/>
      <c r="L36" s="216"/>
      <c r="M36" s="216"/>
      <c r="N36" s="216"/>
      <c r="O36" s="216"/>
      <c r="P36" s="216"/>
      <c r="Q36" s="217"/>
      <c r="S36" s="11"/>
    </row>
    <row r="37" spans="3:19" s="21" customFormat="1" ht="15" customHeight="1">
      <c r="C37" s="153" t="str">
        <f t="shared" ref="C37" si="25">CHOOSE(WEEKDAY(D37),"Sunday","Monday","Tuesday","Wednesday","Thursday","Friday","Saturday")</f>
        <v>Thursday</v>
      </c>
      <c r="D37" s="158">
        <f t="shared" ref="D37" si="26">D35+1</f>
        <v>44301</v>
      </c>
      <c r="E37" s="72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2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3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5"/>
      <c r="K37" s="216"/>
      <c r="L37" s="216"/>
      <c r="M37" s="216"/>
      <c r="N37" s="216"/>
      <c r="O37" s="216"/>
      <c r="P37" s="216"/>
      <c r="Q37" s="217"/>
      <c r="S37" s="11"/>
    </row>
    <row r="38" spans="3:19" s="21" customFormat="1" ht="15" customHeight="1">
      <c r="C38" s="154"/>
      <c r="D38" s="159"/>
      <c r="E38" s="72">
        <f>IFERROR(IF(G38="Yes",Sheet2!B33,0),"")</f>
        <v>0</v>
      </c>
      <c r="F38" s="72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7"/>
      <c r="I38" s="214"/>
      <c r="J38" s="215"/>
      <c r="K38" s="216"/>
      <c r="L38" s="216"/>
      <c r="M38" s="216"/>
      <c r="N38" s="216"/>
      <c r="O38" s="216"/>
      <c r="P38" s="216"/>
      <c r="Q38" s="217"/>
      <c r="S38" s="11"/>
    </row>
    <row r="39" spans="3:19" s="21" customFormat="1" ht="15" customHeight="1">
      <c r="C39" s="153" t="str">
        <f t="shared" ref="C39" si="27">CHOOSE(WEEKDAY(D39),"Sunday","Monday","Tuesday","Wednesday","Thursday","Friday","Saturday")</f>
        <v>Friday</v>
      </c>
      <c r="D39" s="158">
        <f t="shared" ref="D39" si="28">D37+1</f>
        <v>44302</v>
      </c>
      <c r="E39" s="72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2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3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5"/>
      <c r="K39" s="216"/>
      <c r="L39" s="216"/>
      <c r="M39" s="216"/>
      <c r="N39" s="216"/>
      <c r="O39" s="216"/>
      <c r="P39" s="216"/>
      <c r="Q39" s="217"/>
      <c r="S39" s="11"/>
    </row>
    <row r="40" spans="3:19" s="21" customFormat="1" ht="15" customHeight="1">
      <c r="C40" s="154"/>
      <c r="D40" s="159"/>
      <c r="E40" s="72">
        <f>IFERROR(IF(G40="Yes",Sheet2!B35,0),"")</f>
        <v>0</v>
      </c>
      <c r="F40" s="72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7"/>
      <c r="I40" s="214"/>
      <c r="J40" s="215"/>
      <c r="K40" s="216"/>
      <c r="L40" s="216"/>
      <c r="M40" s="216"/>
      <c r="N40" s="216"/>
      <c r="O40" s="216"/>
      <c r="P40" s="216"/>
      <c r="Q40" s="217"/>
      <c r="S40" s="11"/>
    </row>
    <row r="41" spans="3:19" s="21" customFormat="1" ht="15" customHeight="1">
      <c r="C41" s="155" t="str">
        <f t="shared" ref="C41" si="29">CHOOSE(WEEKDAY(D41),"Sunday","Monday","Tuesday","Wednesday","Thursday","Friday","Saturday")</f>
        <v>Saturday</v>
      </c>
      <c r="D41" s="206">
        <f t="shared" ref="D41" si="30">D39+1</f>
        <v>44303</v>
      </c>
      <c r="E41" s="119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9">
        <f>IFERROR(IF(E41=0,0,IF('OT Form'!G41="Yes",Sheet2!C36,0)),"")</f>
        <v>0</v>
      </c>
      <c r="G41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8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0"/>
      <c r="K41" s="211"/>
      <c r="L41" s="211"/>
      <c r="M41" s="211"/>
      <c r="N41" s="211"/>
      <c r="O41" s="211"/>
      <c r="P41" s="211"/>
      <c r="Q41" s="212"/>
      <c r="S41" s="11"/>
    </row>
    <row r="42" spans="3:19" s="21" customFormat="1" ht="15" customHeight="1">
      <c r="C42" s="156"/>
      <c r="D42" s="207"/>
      <c r="E42" s="119">
        <f>IFERROR(IF(G42="Yes",Sheet2!B37,0),"")</f>
        <v>0</v>
      </c>
      <c r="F42" s="119">
        <f>IFERROR(IF('OT Form'!G42="Yes",Sheet2!C37,0),"")</f>
        <v>0</v>
      </c>
      <c r="G42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9"/>
      <c r="J42" s="210"/>
      <c r="K42" s="211"/>
      <c r="L42" s="211"/>
      <c r="M42" s="211"/>
      <c r="N42" s="211"/>
      <c r="O42" s="211"/>
      <c r="P42" s="211"/>
      <c r="Q42" s="212"/>
      <c r="S42" s="11"/>
    </row>
    <row r="43" spans="3:19" s="21" customFormat="1" ht="15" customHeight="1">
      <c r="C43" s="155" t="str">
        <f t="shared" ref="C43" si="31">CHOOSE(WEEKDAY(D43),"Sunday","Monday","Tuesday","Wednesday","Thursday","Friday","Saturday")</f>
        <v>Sunday</v>
      </c>
      <c r="D43" s="206">
        <f t="shared" ref="D43" si="32">D41+1</f>
        <v>44304</v>
      </c>
      <c r="E43" s="119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19">
        <f>IFERROR(IF(E43=0,0,IF('OT Form'!G43="Yes",Sheet2!C38,0)),"")</f>
        <v>0</v>
      </c>
      <c r="G43" s="118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8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10"/>
      <c r="K43" s="211"/>
      <c r="L43" s="211"/>
      <c r="M43" s="211"/>
      <c r="N43" s="211"/>
      <c r="O43" s="211"/>
      <c r="P43" s="211"/>
      <c r="Q43" s="212"/>
      <c r="S43" s="11"/>
    </row>
    <row r="44" spans="3:19" s="21" customFormat="1" ht="15" customHeight="1">
      <c r="C44" s="156"/>
      <c r="D44" s="207"/>
      <c r="E44" s="119">
        <f>IFERROR(IF(G44="Yes",Sheet2!B39,0),"")</f>
        <v>0</v>
      </c>
      <c r="F44" s="119">
        <f>IFERROR(IF('OT Form'!G44="Yes",Sheet2!C39,0),"")</f>
        <v>0</v>
      </c>
      <c r="G44" s="118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9"/>
      <c r="J44" s="210"/>
      <c r="K44" s="211"/>
      <c r="L44" s="211"/>
      <c r="M44" s="211"/>
      <c r="N44" s="211"/>
      <c r="O44" s="211"/>
      <c r="P44" s="211"/>
      <c r="Q44" s="212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Monday</v>
      </c>
      <c r="D45" s="158">
        <f t="shared" ref="D45" si="34">D43+1</f>
        <v>44305</v>
      </c>
      <c r="E45" s="72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2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3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5"/>
      <c r="K45" s="216"/>
      <c r="L45" s="216"/>
      <c r="M45" s="216"/>
      <c r="N45" s="216"/>
      <c r="O45" s="216"/>
      <c r="P45" s="216"/>
      <c r="Q45" s="217"/>
      <c r="S45" s="11"/>
    </row>
    <row r="46" spans="3:19" s="21" customFormat="1" ht="15" customHeight="1">
      <c r="C46" s="154"/>
      <c r="D46" s="159"/>
      <c r="E46" s="72">
        <f>IFERROR(IF(G46="Yes",Sheet2!B41,0),"")</f>
        <v>0</v>
      </c>
      <c r="F46" s="72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7"/>
      <c r="I46" s="214"/>
      <c r="J46" s="215"/>
      <c r="K46" s="216"/>
      <c r="L46" s="216"/>
      <c r="M46" s="216"/>
      <c r="N46" s="216"/>
      <c r="O46" s="216"/>
      <c r="P46" s="216"/>
      <c r="Q46" s="217"/>
      <c r="S46" s="11"/>
    </row>
    <row r="47" spans="3:19" s="21" customFormat="1" ht="15" customHeight="1">
      <c r="C47" s="153" t="str">
        <f t="shared" ref="C47" si="35">CHOOSE(WEEKDAY(D47),"Sunday","Monday","Tuesday","Wednesday","Thursday","Friday","Saturday")</f>
        <v>Tuesday</v>
      </c>
      <c r="D47" s="158">
        <f t="shared" ref="D47" si="36">D45+1</f>
        <v>44306</v>
      </c>
      <c r="E47" s="72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2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3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5"/>
      <c r="K47" s="216"/>
      <c r="L47" s="216"/>
      <c r="M47" s="216"/>
      <c r="N47" s="216"/>
      <c r="O47" s="216"/>
      <c r="P47" s="216"/>
      <c r="Q47" s="217"/>
      <c r="S47" s="11"/>
    </row>
    <row r="48" spans="3:19" s="21" customFormat="1" ht="15" customHeight="1">
      <c r="C48" s="154"/>
      <c r="D48" s="159"/>
      <c r="E48" s="72">
        <f>IFERROR(IF(G48="Yes",Sheet2!B43,0),"")</f>
        <v>0</v>
      </c>
      <c r="F48" s="72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7"/>
      <c r="I48" s="214"/>
      <c r="J48" s="215"/>
      <c r="K48" s="216"/>
      <c r="L48" s="216"/>
      <c r="M48" s="216"/>
      <c r="N48" s="216"/>
      <c r="O48" s="216"/>
      <c r="P48" s="216"/>
      <c r="Q48" s="217"/>
      <c r="S48" s="11"/>
    </row>
    <row r="49" spans="3:19" s="21" customFormat="1" ht="15" customHeight="1">
      <c r="C49" s="153" t="str">
        <f t="shared" ref="C49" si="37">CHOOSE(WEEKDAY(D49),"Sunday","Monday","Tuesday","Wednesday","Thursday","Friday","Saturday")</f>
        <v>Wednesday</v>
      </c>
      <c r="D49" s="158">
        <f t="shared" ref="D49" si="38">D47+1</f>
        <v>44307</v>
      </c>
      <c r="E49" s="72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2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3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5"/>
      <c r="K49" s="216"/>
      <c r="L49" s="216"/>
      <c r="M49" s="216"/>
      <c r="N49" s="216"/>
      <c r="O49" s="216"/>
      <c r="P49" s="216"/>
      <c r="Q49" s="217"/>
      <c r="S49" s="11"/>
    </row>
    <row r="50" spans="3:19" s="21" customFormat="1" ht="15" customHeight="1">
      <c r="C50" s="154"/>
      <c r="D50" s="159"/>
      <c r="E50" s="72">
        <f>IFERROR(IF(G50="Yes",Sheet2!B45,0),"")</f>
        <v>0</v>
      </c>
      <c r="F50" s="72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7"/>
      <c r="I50" s="214"/>
      <c r="J50" s="215"/>
      <c r="K50" s="216"/>
      <c r="L50" s="216"/>
      <c r="M50" s="216"/>
      <c r="N50" s="216"/>
      <c r="O50" s="216"/>
      <c r="P50" s="216"/>
      <c r="Q50" s="217"/>
      <c r="S50" s="11"/>
    </row>
    <row r="51" spans="3:19" s="21" customFormat="1" ht="15" customHeight="1">
      <c r="C51" s="153" t="str">
        <f t="shared" ref="C51" si="39">CHOOSE(WEEKDAY(D51),"Sunday","Monday","Tuesday","Wednesday","Thursday","Friday","Saturday")</f>
        <v>Thursday</v>
      </c>
      <c r="D51" s="158">
        <f t="shared" ref="D51" si="40">D49+1</f>
        <v>44308</v>
      </c>
      <c r="E51" s="72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2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3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5"/>
      <c r="K51" s="216"/>
      <c r="L51" s="216"/>
      <c r="M51" s="216"/>
      <c r="N51" s="216"/>
      <c r="O51" s="216"/>
      <c r="P51" s="216"/>
      <c r="Q51" s="217"/>
      <c r="S51" s="11"/>
    </row>
    <row r="52" spans="3:19" s="21" customFormat="1" ht="15" customHeight="1">
      <c r="C52" s="154"/>
      <c r="D52" s="159"/>
      <c r="E52" s="72">
        <f>IFERROR(IF(G52="Yes",Sheet2!B47,0),"")</f>
        <v>0</v>
      </c>
      <c r="F52" s="72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7"/>
      <c r="I52" s="214"/>
      <c r="J52" s="215"/>
      <c r="K52" s="216"/>
      <c r="L52" s="216"/>
      <c r="M52" s="216"/>
      <c r="N52" s="216"/>
      <c r="O52" s="216"/>
      <c r="P52" s="216"/>
      <c r="Q52" s="217"/>
      <c r="S52" s="11"/>
    </row>
    <row r="53" spans="3:19" s="21" customFormat="1" ht="15" customHeight="1">
      <c r="C53" s="153" t="str">
        <f t="shared" ref="C53" si="41">CHOOSE(WEEKDAY(D53),"Sunday","Monday","Tuesday","Wednesday","Thursday","Friday","Saturday")</f>
        <v>Friday</v>
      </c>
      <c r="D53" s="158">
        <f t="shared" ref="D53" si="42">D51+1</f>
        <v>44309</v>
      </c>
      <c r="E53" s="72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2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3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5"/>
      <c r="K53" s="216"/>
      <c r="L53" s="216"/>
      <c r="M53" s="216"/>
      <c r="N53" s="216"/>
      <c r="O53" s="216"/>
      <c r="P53" s="216"/>
      <c r="Q53" s="217"/>
      <c r="S53" s="11"/>
    </row>
    <row r="54" spans="3:19" s="21" customFormat="1" ht="15" customHeight="1">
      <c r="C54" s="154"/>
      <c r="D54" s="159"/>
      <c r="E54" s="72">
        <f>IFERROR(IF(G54="Yes",Sheet2!B49,0),"")</f>
        <v>0</v>
      </c>
      <c r="F54" s="72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7"/>
      <c r="I54" s="214"/>
      <c r="J54" s="215"/>
      <c r="K54" s="216"/>
      <c r="L54" s="216"/>
      <c r="M54" s="216"/>
      <c r="N54" s="216"/>
      <c r="O54" s="216"/>
      <c r="P54" s="216"/>
      <c r="Q54" s="217"/>
      <c r="S54" s="11"/>
    </row>
    <row r="55" spans="3:19" s="21" customFormat="1" ht="15" customHeight="1">
      <c r="C55" s="155" t="str">
        <f t="shared" ref="C55" si="43">CHOOSE(WEEKDAY(D55),"Sunday","Monday","Tuesday","Wednesday","Thursday","Friday","Saturday")</f>
        <v>Saturday</v>
      </c>
      <c r="D55" s="206">
        <f t="shared" ref="D55" si="44">D53+1</f>
        <v>44310</v>
      </c>
      <c r="E55" s="119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19">
        <f>IFERROR(IF(E55=0,0,IF('OT Form'!G55="Yes",Sheet2!C50,0)),"")</f>
        <v>0</v>
      </c>
      <c r="G55" s="118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8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0"/>
      <c r="K55" s="211"/>
      <c r="L55" s="211"/>
      <c r="M55" s="211"/>
      <c r="N55" s="211"/>
      <c r="O55" s="211"/>
      <c r="P55" s="211"/>
      <c r="Q55" s="212"/>
      <c r="S55" s="11"/>
    </row>
    <row r="56" spans="3:19" s="21" customFormat="1" ht="15" customHeight="1">
      <c r="C56" s="156"/>
      <c r="D56" s="207"/>
      <c r="E56" s="119">
        <f>IFERROR(IF(G56="Yes",Sheet2!B51,0),"")</f>
        <v>0</v>
      </c>
      <c r="F56" s="119">
        <f>IFERROR(IF('OT Form'!G56="Yes",Sheet2!C51,0),"")</f>
        <v>0</v>
      </c>
      <c r="G56" s="118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9"/>
      <c r="J56" s="210"/>
      <c r="K56" s="211"/>
      <c r="L56" s="211"/>
      <c r="M56" s="211"/>
      <c r="N56" s="211"/>
      <c r="O56" s="211"/>
      <c r="P56" s="211"/>
      <c r="Q56" s="212"/>
      <c r="S56" s="11"/>
    </row>
    <row r="57" spans="3:19" s="21" customFormat="1" ht="15" customHeight="1">
      <c r="C57" s="155" t="str">
        <f t="shared" ref="C57" si="45">CHOOSE(WEEKDAY(D57),"Sunday","Monday","Tuesday","Wednesday","Thursday","Friday","Saturday")</f>
        <v>Sunday</v>
      </c>
      <c r="D57" s="206">
        <f t="shared" ref="D57" si="46">D55+1</f>
        <v>44311</v>
      </c>
      <c r="E57" s="119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19">
        <f>IFERROR(IF(E57=0,0,IF('OT Form'!G57="Yes",Sheet2!C52,0)),"")</f>
        <v>0</v>
      </c>
      <c r="G57" s="118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8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10"/>
      <c r="K57" s="211"/>
      <c r="L57" s="211"/>
      <c r="M57" s="211"/>
      <c r="N57" s="211"/>
      <c r="O57" s="211"/>
      <c r="P57" s="211"/>
      <c r="Q57" s="212"/>
      <c r="S57" s="11"/>
    </row>
    <row r="58" spans="3:19" s="21" customFormat="1" ht="15" customHeight="1">
      <c r="C58" s="156"/>
      <c r="D58" s="207"/>
      <c r="E58" s="119">
        <f>IFERROR(IF(G58="Yes",Sheet2!B53,0),"")</f>
        <v>0</v>
      </c>
      <c r="F58" s="119">
        <f>IFERROR(IF('OT Form'!G58="Yes",Sheet2!C53,0),"")</f>
        <v>0</v>
      </c>
      <c r="G58" s="118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9"/>
      <c r="J58" s="210"/>
      <c r="K58" s="211"/>
      <c r="L58" s="211"/>
      <c r="M58" s="211"/>
      <c r="N58" s="211"/>
      <c r="O58" s="211"/>
      <c r="P58" s="211"/>
      <c r="Q58" s="212"/>
      <c r="S58" s="11"/>
    </row>
    <row r="59" spans="3:19" s="21" customFormat="1" ht="15" customHeight="1">
      <c r="C59" s="153" t="str">
        <f t="shared" ref="C59" si="47">CHOOSE(WEEKDAY(D59),"Sunday","Monday","Tuesday","Wednesday","Thursday","Friday","Saturday")</f>
        <v>Monday</v>
      </c>
      <c r="D59" s="158">
        <f t="shared" ref="D59" si="48">D57+1</f>
        <v>44312</v>
      </c>
      <c r="E59" s="72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2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3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5"/>
      <c r="K59" s="216"/>
      <c r="L59" s="216"/>
      <c r="M59" s="216"/>
      <c r="N59" s="216"/>
      <c r="O59" s="216"/>
      <c r="P59" s="216"/>
      <c r="Q59" s="217"/>
      <c r="S59" s="11"/>
    </row>
    <row r="60" spans="3:19" s="21" customFormat="1" ht="15" customHeight="1">
      <c r="C60" s="154"/>
      <c r="D60" s="159"/>
      <c r="E60" s="72">
        <f>IFERROR(IF(G60="Yes",Sheet2!B55,0),"")</f>
        <v>0</v>
      </c>
      <c r="F60" s="72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7"/>
      <c r="I60" s="214"/>
      <c r="J60" s="215"/>
      <c r="K60" s="216"/>
      <c r="L60" s="216"/>
      <c r="M60" s="216"/>
      <c r="N60" s="216"/>
      <c r="O60" s="216"/>
      <c r="P60" s="216"/>
      <c r="Q60" s="217"/>
      <c r="S60" s="11"/>
    </row>
    <row r="61" spans="3:19" s="21" customFormat="1" ht="15" customHeight="1">
      <c r="C61" s="153" t="str">
        <f t="shared" ref="C61" si="49">CHOOSE(WEEKDAY(D61),"Sunday","Monday","Tuesday","Wednesday","Thursday","Friday","Saturday")</f>
        <v>Tuesday</v>
      </c>
      <c r="D61" s="158">
        <f t="shared" ref="D61" si="50">D59+1</f>
        <v>44313</v>
      </c>
      <c r="E61" s="72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2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3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5"/>
      <c r="K61" s="216"/>
      <c r="L61" s="216"/>
      <c r="M61" s="216"/>
      <c r="N61" s="216"/>
      <c r="O61" s="216"/>
      <c r="P61" s="216"/>
      <c r="Q61" s="217"/>
      <c r="S61" s="11"/>
    </row>
    <row r="62" spans="3:19" s="21" customFormat="1" ht="15" customHeight="1">
      <c r="C62" s="154"/>
      <c r="D62" s="159"/>
      <c r="E62" s="72">
        <f>IFERROR(IF(G62="Yes",Sheet2!B57,0),"")</f>
        <v>0</v>
      </c>
      <c r="F62" s="72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7"/>
      <c r="I62" s="214"/>
      <c r="J62" s="215"/>
      <c r="K62" s="216"/>
      <c r="L62" s="216"/>
      <c r="M62" s="216"/>
      <c r="N62" s="216"/>
      <c r="O62" s="216"/>
      <c r="P62" s="216"/>
      <c r="Q62" s="217"/>
      <c r="S62" s="11"/>
    </row>
    <row r="63" spans="3:19" s="21" customFormat="1" ht="15" customHeight="1">
      <c r="C63" s="153" t="str">
        <f t="shared" ref="C63" si="51">CHOOSE(WEEKDAY(D63),"Sunday","Monday","Tuesday","Wednesday","Thursday","Friday","Saturday")</f>
        <v>Wednesday</v>
      </c>
      <c r="D63" s="158">
        <f t="shared" ref="D63" si="52">D61+1</f>
        <v>44314</v>
      </c>
      <c r="E63" s="72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2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3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5"/>
      <c r="K63" s="216"/>
      <c r="L63" s="216"/>
      <c r="M63" s="216"/>
      <c r="N63" s="216"/>
      <c r="O63" s="216"/>
      <c r="P63" s="216"/>
      <c r="Q63" s="217"/>
      <c r="S63" s="11"/>
    </row>
    <row r="64" spans="3:19" s="21" customFormat="1" ht="15" customHeight="1">
      <c r="C64" s="154"/>
      <c r="D64" s="159"/>
      <c r="E64" s="72">
        <f>IFERROR(IF(G64="Yes",Sheet2!B59,0),"")</f>
        <v>0</v>
      </c>
      <c r="F64" s="72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7"/>
      <c r="I64" s="214"/>
      <c r="J64" s="215"/>
      <c r="K64" s="216"/>
      <c r="L64" s="216"/>
      <c r="M64" s="216"/>
      <c r="N64" s="216"/>
      <c r="O64" s="216"/>
      <c r="P64" s="216"/>
      <c r="Q64" s="217"/>
      <c r="S64" s="11"/>
    </row>
    <row r="65" spans="2:24" s="21" customFormat="1" ht="15" customHeight="1">
      <c r="C65" s="153" t="str">
        <f t="shared" ref="C65" si="53">CHOOSE(WEEKDAY(D65),"Sunday","Monday","Tuesday","Wednesday","Thursday","Friday","Saturday")</f>
        <v>Thursday</v>
      </c>
      <c r="D65" s="158">
        <f t="shared" ref="D65:D69" si="54">D63+1</f>
        <v>44315</v>
      </c>
      <c r="E65" s="72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2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3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5"/>
      <c r="K65" s="216"/>
      <c r="L65" s="216"/>
      <c r="M65" s="216"/>
      <c r="N65" s="216"/>
      <c r="O65" s="216"/>
      <c r="P65" s="216"/>
      <c r="Q65" s="217"/>
      <c r="S65" s="11"/>
    </row>
    <row r="66" spans="2:24" s="21" customFormat="1" ht="15" customHeight="1">
      <c r="C66" s="154"/>
      <c r="D66" s="159"/>
      <c r="E66" s="72">
        <f>IFERROR(IF(G66="Yes",Sheet2!B61,0),"")</f>
        <v>0</v>
      </c>
      <c r="F66" s="72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7"/>
      <c r="I66" s="214"/>
      <c r="J66" s="215"/>
      <c r="K66" s="216"/>
      <c r="L66" s="216"/>
      <c r="M66" s="216"/>
      <c r="N66" s="216"/>
      <c r="O66" s="216"/>
      <c r="P66" s="216"/>
      <c r="Q66" s="217"/>
      <c r="S66" s="11"/>
    </row>
    <row r="67" spans="2:24" s="21" customFormat="1" ht="15" customHeight="1">
      <c r="C67" s="153" t="str">
        <f t="shared" ref="C67" si="55">CHOOSE(WEEKDAY(D67),"Sunday","Monday","Tuesday","Wednesday","Thursday","Friday","Saturday")</f>
        <v>Friday</v>
      </c>
      <c r="D67" s="158">
        <f t="shared" si="54"/>
        <v>44316</v>
      </c>
      <c r="E67" s="72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2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3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5"/>
      <c r="K67" s="216"/>
      <c r="L67" s="216"/>
      <c r="M67" s="216"/>
      <c r="N67" s="216"/>
      <c r="O67" s="216"/>
      <c r="P67" s="216"/>
      <c r="Q67" s="217"/>
      <c r="S67" s="11"/>
    </row>
    <row r="68" spans="2:24" s="21" customFormat="1" ht="15" customHeight="1">
      <c r="C68" s="154"/>
      <c r="D68" s="159"/>
      <c r="E68" s="72">
        <f>IFERROR(IF(G68="Yes",Sheet2!B63,0),"")</f>
        <v>0</v>
      </c>
      <c r="F68" s="72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7"/>
      <c r="I68" s="214"/>
      <c r="J68" s="215"/>
      <c r="K68" s="216"/>
      <c r="L68" s="216"/>
      <c r="M68" s="216"/>
      <c r="N68" s="216"/>
      <c r="O68" s="216"/>
      <c r="P68" s="216"/>
      <c r="Q68" s="217"/>
      <c r="S68" s="11"/>
    </row>
    <row r="69" spans="2:24" s="21" customFormat="1" ht="15.75" hidden="1">
      <c r="C69" s="153" t="str">
        <f t="shared" ref="C69" si="56">CHOOSE(WEEKDAY(D69),"Sunday","Monday","Tuesday","Wednesday","Thursday","Friday","Saturday")</f>
        <v>Saturday</v>
      </c>
      <c r="D69" s="158">
        <f t="shared" si="54"/>
        <v>44317</v>
      </c>
      <c r="E69" s="72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2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6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13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5"/>
      <c r="K69" s="216"/>
      <c r="L69" s="216"/>
      <c r="M69" s="216"/>
      <c r="N69" s="216"/>
      <c r="O69" s="216"/>
      <c r="P69" s="216"/>
      <c r="Q69" s="217"/>
      <c r="S69" s="11"/>
    </row>
    <row r="70" spans="2:24" s="21" customFormat="1" ht="15" hidden="1" customHeight="1">
      <c r="C70" s="154"/>
      <c r="D70" s="159"/>
      <c r="E70" s="72">
        <f>IFERROR(IF(G70="Yes",Sheet2!B65,0),"")</f>
        <v>0</v>
      </c>
      <c r="F70" s="72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7"/>
      <c r="I70" s="214"/>
      <c r="J70" s="215"/>
      <c r="K70" s="216"/>
      <c r="L70" s="216"/>
      <c r="M70" s="216"/>
      <c r="N70" s="216"/>
      <c r="O70" s="216"/>
      <c r="P70" s="216"/>
      <c r="Q70" s="217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9" t="s">
        <v>148</v>
      </c>
      <c r="F74" s="220"/>
      <c r="G74" s="219" t="s">
        <v>149</v>
      </c>
      <c r="H74" s="220"/>
      <c r="I74" s="219" t="s">
        <v>150</v>
      </c>
      <c r="J74" s="220"/>
      <c r="K74" s="219" t="s">
        <v>151</v>
      </c>
      <c r="L74" s="220"/>
      <c r="N74" s="10"/>
      <c r="O74" s="10"/>
      <c r="P74" s="10"/>
      <c r="Q74" s="10"/>
    </row>
    <row r="75" spans="2:24" s="21" customFormat="1" ht="15" customHeight="1">
      <c r="B75" s="18"/>
      <c r="E75" s="222">
        <f>SUM(H9:H70)</f>
        <v>0</v>
      </c>
      <c r="F75" s="223"/>
      <c r="G75" s="222">
        <f>COUNTIF(H9:H70,"&gt;0")</f>
        <v>0</v>
      </c>
      <c r="H75" s="223"/>
      <c r="I75" s="222">
        <f>SUM(I9:I70)</f>
        <v>0</v>
      </c>
      <c r="J75" s="223"/>
      <c r="K75" s="222">
        <f>COUNTIF(I9:I70,"&gt;0")</f>
        <v>0</v>
      </c>
      <c r="L75" s="223"/>
      <c r="N75" s="10"/>
      <c r="O75" s="10"/>
      <c r="P75" s="10"/>
      <c r="Q75" s="10"/>
    </row>
    <row r="76" spans="2:24" s="21" customFormat="1" ht="15" customHeight="1">
      <c r="B76" s="18"/>
      <c r="E76" s="224"/>
      <c r="F76" s="225"/>
      <c r="G76" s="224"/>
      <c r="H76" s="225"/>
      <c r="I76" s="224"/>
      <c r="J76" s="225"/>
      <c r="K76" s="224"/>
      <c r="L76" s="225"/>
      <c r="N76" s="10"/>
      <c r="O76" s="10"/>
      <c r="P76" s="10"/>
      <c r="Q76" s="10"/>
    </row>
    <row r="77" spans="2:24" s="21" customFormat="1" ht="15" customHeight="1">
      <c r="B77" s="18"/>
      <c r="E77" s="226"/>
      <c r="F77" s="227"/>
      <c r="G77" s="226"/>
      <c r="H77" s="227"/>
      <c r="I77" s="226"/>
      <c r="J77" s="227"/>
      <c r="K77" s="226"/>
      <c r="L77" s="227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138</v>
      </c>
      <c r="H81" s="140"/>
      <c r="I81" s="140" t="s">
        <v>11</v>
      </c>
      <c r="J81" s="140"/>
      <c r="K81" s="140"/>
      <c r="L81" s="140" t="s">
        <v>139</v>
      </c>
      <c r="M81" s="140"/>
      <c r="N81" s="140"/>
      <c r="O81" s="219" t="s">
        <v>11</v>
      </c>
      <c r="P81" s="221"/>
      <c r="Q81" s="221"/>
      <c r="R81" s="220"/>
      <c r="S81" s="62"/>
    </row>
    <row r="82" spans="2:20" ht="15" customHeight="1">
      <c r="B82" s="228">
        <f>F3</f>
        <v>0</v>
      </c>
      <c r="C82" s="228"/>
      <c r="D82" s="229"/>
      <c r="E82" s="229"/>
      <c r="F82" s="229"/>
      <c r="G82" s="187"/>
      <c r="H82" s="188"/>
      <c r="I82" s="218"/>
      <c r="J82" s="218"/>
      <c r="K82" s="218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8"/>
      <c r="C83" s="228"/>
      <c r="D83" s="229"/>
      <c r="E83" s="229"/>
      <c r="F83" s="229"/>
      <c r="G83" s="190"/>
      <c r="H83" s="191"/>
      <c r="I83" s="218"/>
      <c r="J83" s="218"/>
      <c r="K83" s="218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8"/>
      <c r="C84" s="228"/>
      <c r="D84" s="229"/>
      <c r="E84" s="229"/>
      <c r="F84" s="229"/>
      <c r="G84" s="190"/>
      <c r="H84" s="191"/>
      <c r="I84" s="218"/>
      <c r="J84" s="218"/>
      <c r="K84" s="218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8"/>
      <c r="C85" s="228"/>
      <c r="D85" s="229"/>
      <c r="E85" s="229"/>
      <c r="F85" s="229"/>
      <c r="G85" s="193"/>
      <c r="H85" s="194"/>
      <c r="I85" s="218"/>
      <c r="J85" s="218"/>
      <c r="K85" s="218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B76" sqref="B76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>
      <c r="A3" s="104" t="s">
        <v>180</v>
      </c>
      <c r="J3">
        <f>'Timesheet-Regular'!D6</f>
        <v>0</v>
      </c>
      <c r="K3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19</v>
      </c>
      <c r="G5" s="107" t="s">
        <v>44</v>
      </c>
      <c r="H5" s="7" t="s">
        <v>44</v>
      </c>
      <c r="I5" s="9">
        <v>44239</v>
      </c>
      <c r="J5" t="str">
        <f>IF(J3="yes","Morning","")</f>
        <v/>
      </c>
      <c r="K5" s="235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4" t="str">
        <f>IF('Timesheet-Regular'!$D$6="No","",'Timesheet-Regular'!G13)</f>
        <v/>
      </c>
    </row>
    <row r="6" spans="1:12">
      <c r="A6" s="101" t="s">
        <v>18</v>
      </c>
      <c r="B6" s="94" t="s">
        <v>34</v>
      </c>
      <c r="C6" s="5"/>
      <c r="D6" s="6" t="s">
        <v>72</v>
      </c>
      <c r="E6" s="106">
        <v>44256</v>
      </c>
      <c r="F6" s="112">
        <v>22</v>
      </c>
      <c r="G6" s="107" t="s">
        <v>45</v>
      </c>
      <c r="H6" s="7" t="s">
        <v>45</v>
      </c>
      <c r="I6" s="9">
        <v>44266</v>
      </c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135</v>
      </c>
      <c r="C7" s="5"/>
      <c r="D7" s="5"/>
      <c r="E7" s="106">
        <v>44287</v>
      </c>
      <c r="F7" s="112">
        <v>21</v>
      </c>
      <c r="G7" s="107" t="s">
        <v>129</v>
      </c>
      <c r="H7" s="7" t="s">
        <v>46</v>
      </c>
      <c r="I7" s="9">
        <v>44288</v>
      </c>
      <c r="J7" t="str">
        <f>IF(J3="yes","Night","")</f>
        <v/>
      </c>
      <c r="K7" s="235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21</v>
      </c>
      <c r="G8" s="107" t="s">
        <v>130</v>
      </c>
      <c r="H8" s="7" t="s">
        <v>47</v>
      </c>
      <c r="I8" s="9"/>
      <c r="K8" s="235"/>
      <c r="L8" s="234"/>
    </row>
    <row r="9" spans="1:12">
      <c r="A9" s="102" t="s">
        <v>214</v>
      </c>
      <c r="B9" s="94" t="s">
        <v>208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/>
      <c r="K9" s="235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22</v>
      </c>
      <c r="G10" s="107" t="s">
        <v>87</v>
      </c>
      <c r="H10" s="107" t="s">
        <v>190</v>
      </c>
      <c r="I10" s="9"/>
      <c r="K10" s="235"/>
      <c r="L10" s="234"/>
    </row>
    <row r="11" spans="1:12">
      <c r="A11" s="101" t="s">
        <v>204</v>
      </c>
      <c r="B11" s="94" t="s">
        <v>78</v>
      </c>
      <c r="C11" s="5"/>
      <c r="D11" s="5"/>
      <c r="E11" s="106">
        <v>44409</v>
      </c>
      <c r="F11" s="112">
        <v>19</v>
      </c>
      <c r="G11" s="107" t="s">
        <v>88</v>
      </c>
      <c r="I11" s="9"/>
      <c r="K11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/>
      <c r="K12" s="235"/>
      <c r="L12" s="234"/>
    </row>
    <row r="13" spans="1:12">
      <c r="A13" s="101" t="s">
        <v>203</v>
      </c>
      <c r="B13" s="94" t="s">
        <v>214</v>
      </c>
      <c r="C13" s="5"/>
      <c r="D13" s="5"/>
      <c r="E13" s="106">
        <v>44470</v>
      </c>
      <c r="F13" s="112">
        <v>21</v>
      </c>
      <c r="G13" s="107" t="s">
        <v>49</v>
      </c>
      <c r="I13" s="9"/>
      <c r="K13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4" t="str">
        <f>IF('Timesheet-Regular'!$D$6="No","",'Timesheet-Regular'!G21)</f>
        <v/>
      </c>
    </row>
    <row r="14" spans="1:12">
      <c r="A14" s="101" t="s">
        <v>189</v>
      </c>
      <c r="B14" s="94" t="s">
        <v>18</v>
      </c>
      <c r="C14" s="5"/>
      <c r="D14" s="5"/>
      <c r="E14" s="106">
        <v>44501</v>
      </c>
      <c r="F14" s="112">
        <v>21</v>
      </c>
      <c r="G14" s="107" t="s">
        <v>190</v>
      </c>
      <c r="I14" s="9"/>
      <c r="K14" s="235"/>
      <c r="L14" s="234"/>
    </row>
    <row r="15" spans="1:12">
      <c r="A15" s="101" t="s">
        <v>195</v>
      </c>
      <c r="B15" s="94" t="s">
        <v>35</v>
      </c>
      <c r="C15" s="5"/>
      <c r="D15" s="5"/>
      <c r="E15" s="106">
        <v>44531</v>
      </c>
      <c r="F15" s="112">
        <v>22</v>
      </c>
      <c r="G15" s="25"/>
      <c r="I15" s="9"/>
      <c r="K15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4" t="str">
        <f>IF('Timesheet-Regular'!$D$6="No","",'Timesheet-Regular'!G23)</f>
        <v/>
      </c>
    </row>
    <row r="16" spans="1:12">
      <c r="A16" s="101" t="s">
        <v>215</v>
      </c>
      <c r="B16" s="94" t="s">
        <v>136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79</v>
      </c>
      <c r="C17" s="5"/>
      <c r="D17" s="5"/>
      <c r="E17" s="4"/>
      <c r="F17" s="113"/>
      <c r="I17" s="9"/>
      <c r="K17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4" t="str">
        <f>IF('Timesheet-Regular'!$D$6="No","",'Timesheet-Regular'!G25)</f>
        <v/>
      </c>
    </row>
    <row r="18" spans="1:12">
      <c r="A18" s="102" t="s">
        <v>85</v>
      </c>
      <c r="B18" s="94" t="s">
        <v>80</v>
      </c>
      <c r="C18" s="5"/>
      <c r="D18" s="5"/>
      <c r="E18" s="4" t="s">
        <v>186</v>
      </c>
      <c r="F18" s="113">
        <f>VLOOKUP('Timesheet-Regular'!D7,List!E4:F15,2,0)</f>
        <v>21</v>
      </c>
      <c r="G18" s="26"/>
      <c r="I18" s="9"/>
      <c r="K18" s="235"/>
      <c r="L18" s="234"/>
    </row>
    <row r="19" spans="1:12">
      <c r="A19" s="102" t="s">
        <v>202</v>
      </c>
      <c r="B19" s="94" t="s">
        <v>36</v>
      </c>
      <c r="C19" s="5"/>
      <c r="D19" s="5"/>
      <c r="E19" s="4" t="s">
        <v>185</v>
      </c>
      <c r="F19" s="113">
        <f>IF('Timesheet-Regular'!D5="Existing",IF('Timesheet-Regular'!F77=List!F18,VLOOKUP('Timesheet-Regular'!D7,List!E4:F15,2,0),0),VLOOKUP('Timesheet-Regular'!D7,List!E4:F15,2,0))</f>
        <v>21</v>
      </c>
      <c r="K19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4" t="str">
        <f>IF('Timesheet-Regular'!$D$6="No","",'Timesheet-Regular'!G27)</f>
        <v/>
      </c>
    </row>
    <row r="20" spans="1:12">
      <c r="A20" s="101" t="s">
        <v>26</v>
      </c>
      <c r="B20" s="94" t="s">
        <v>81</v>
      </c>
      <c r="C20" s="5"/>
      <c r="D20" s="5"/>
      <c r="E20" s="4"/>
      <c r="F20" s="113"/>
      <c r="K20" s="235"/>
      <c r="L20" s="234"/>
    </row>
    <row r="21" spans="1:12">
      <c r="A21" s="101" t="s">
        <v>27</v>
      </c>
      <c r="B21" s="94" t="s">
        <v>37</v>
      </c>
      <c r="C21" s="5"/>
      <c r="D21" s="5"/>
      <c r="F21" s="113"/>
      <c r="K21" s="235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4" t="str">
        <f>IF('Timesheet-Regular'!$D$6="No","",'Timesheet-Regular'!G29)</f>
        <v/>
      </c>
    </row>
    <row r="22" spans="1:12">
      <c r="A22" s="102" t="s">
        <v>200</v>
      </c>
      <c r="B22" s="94" t="s">
        <v>175</v>
      </c>
      <c r="C22" s="5"/>
      <c r="D22" s="5"/>
      <c r="F22" s="113"/>
      <c r="K22" s="235"/>
      <c r="L22" s="234"/>
    </row>
    <row r="23" spans="1:12">
      <c r="A23" s="100" t="s">
        <v>79</v>
      </c>
      <c r="B23" s="94" t="s">
        <v>213</v>
      </c>
      <c r="C23" s="5"/>
      <c r="D23" s="5"/>
      <c r="F23" s="113"/>
      <c r="K23" s="235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4" t="str">
        <f>IF('Timesheet-Regular'!$D$6="No","",'Timesheet-Regular'!G31)</f>
        <v/>
      </c>
    </row>
    <row r="24" spans="1:12">
      <c r="A24" s="100" t="s">
        <v>30</v>
      </c>
      <c r="B24" s="94" t="s">
        <v>82</v>
      </c>
      <c r="C24" s="5"/>
      <c r="D24" s="5"/>
      <c r="F24" s="113"/>
      <c r="K24" s="235"/>
      <c r="L24" s="234"/>
    </row>
    <row r="25" spans="1:12">
      <c r="A25" s="102" t="s">
        <v>39</v>
      </c>
      <c r="B25" s="94" t="s">
        <v>19</v>
      </c>
      <c r="C25" s="5"/>
      <c r="D25" s="5"/>
      <c r="F25" s="113"/>
      <c r="K25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4" t="str">
        <f>IF('Timesheet-Regular'!$D$6="No","",'Timesheet-Regular'!G33)</f>
        <v/>
      </c>
    </row>
    <row r="26" spans="1:12">
      <c r="A26" s="102" t="s">
        <v>205</v>
      </c>
      <c r="B26" s="94" t="s">
        <v>83</v>
      </c>
      <c r="C26" s="5"/>
      <c r="D26" s="5"/>
      <c r="F26" s="113"/>
      <c r="K26" s="235"/>
      <c r="L26" s="234"/>
    </row>
    <row r="27" spans="1:12">
      <c r="A27" s="100" t="s">
        <v>28</v>
      </c>
      <c r="B27" s="94" t="s">
        <v>38</v>
      </c>
      <c r="C27" s="5"/>
      <c r="D27" s="5"/>
      <c r="F27" s="113"/>
      <c r="K27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4" t="str">
        <f>IF('Timesheet-Regular'!$D$6="No","",'Timesheet-Regular'!G35)</f>
        <v/>
      </c>
    </row>
    <row r="28" spans="1:12">
      <c r="A28" s="101" t="s">
        <v>21</v>
      </c>
      <c r="B28" s="94" t="s">
        <v>189</v>
      </c>
      <c r="C28" s="5"/>
      <c r="D28" s="5"/>
      <c r="F28" s="113"/>
      <c r="K28" s="235"/>
      <c r="L28" s="234"/>
    </row>
    <row r="29" spans="1:12">
      <c r="A29" s="101" t="s">
        <v>145</v>
      </c>
      <c r="B29" s="94" t="s">
        <v>137</v>
      </c>
      <c r="C29" s="5"/>
      <c r="D29" s="5"/>
      <c r="F29" s="113"/>
      <c r="K29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4" t="str">
        <f>IF('Timesheet-Regular'!$D$6="No","",'Timesheet-Regular'!G37)</f>
        <v/>
      </c>
    </row>
    <row r="30" spans="1:12">
      <c r="A30" s="100" t="s">
        <v>23</v>
      </c>
      <c r="B30" s="94" t="s">
        <v>192</v>
      </c>
      <c r="C30" s="5"/>
      <c r="D30" s="5"/>
      <c r="F30" s="113"/>
      <c r="K30" s="235"/>
      <c r="L30" s="234"/>
    </row>
    <row r="31" spans="1:12">
      <c r="A31" s="101" t="s">
        <v>193</v>
      </c>
      <c r="B31" s="94" t="s">
        <v>84</v>
      </c>
      <c r="C31" s="5"/>
      <c r="D31" s="5"/>
      <c r="F31" s="113"/>
      <c r="K31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4" t="str">
        <f>IF('Timesheet-Regular'!$D$6="No","",'Timesheet-Regular'!G39)</f>
        <v/>
      </c>
    </row>
    <row r="32" spans="1:12">
      <c r="A32" s="101" t="s">
        <v>211</v>
      </c>
      <c r="B32" s="94" t="s">
        <v>29</v>
      </c>
      <c r="C32" s="5"/>
      <c r="D32" s="5"/>
      <c r="F32" s="113"/>
      <c r="K32" s="235"/>
      <c r="L32" s="234"/>
    </row>
    <row r="33" spans="1:12">
      <c r="A33" s="101" t="s">
        <v>197</v>
      </c>
      <c r="B33" s="94" t="s">
        <v>195</v>
      </c>
      <c r="C33" s="5"/>
      <c r="D33" s="5"/>
      <c r="F33" s="113"/>
      <c r="K33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4" t="str">
        <f>IF('Timesheet-Regular'!$D$6="No","",'Timesheet-Regular'!G41)</f>
        <v/>
      </c>
    </row>
    <row r="34" spans="1:12">
      <c r="A34" s="101" t="s">
        <v>212</v>
      </c>
      <c r="B34" s="94" t="s">
        <v>176</v>
      </c>
      <c r="C34" s="5"/>
      <c r="D34" s="5"/>
      <c r="F34" s="113"/>
      <c r="K34" s="235"/>
      <c r="L34" s="234"/>
    </row>
    <row r="35" spans="1:12">
      <c r="A35" s="101" t="s">
        <v>40</v>
      </c>
      <c r="B35" s="94" t="s">
        <v>25</v>
      </c>
      <c r="C35" s="5"/>
      <c r="D35" s="5"/>
      <c r="F35" s="113"/>
      <c r="K35" s="235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4" t="str">
        <f>IF('Timesheet-Regular'!$D$6="No","",'Timesheet-Regular'!G43)</f>
        <v/>
      </c>
    </row>
    <row r="36" spans="1:12">
      <c r="A36" s="101" t="s">
        <v>213</v>
      </c>
      <c r="B36" s="94" t="s">
        <v>20</v>
      </c>
      <c r="C36" s="5"/>
      <c r="D36" s="5"/>
      <c r="F36" s="113"/>
      <c r="K36" s="235"/>
      <c r="L36" s="234"/>
    </row>
    <row r="37" spans="1:12">
      <c r="A37" s="102" t="s">
        <v>42</v>
      </c>
      <c r="B37" s="94" t="s">
        <v>85</v>
      </c>
      <c r="C37" s="5"/>
      <c r="D37" s="5"/>
      <c r="F37" s="113"/>
      <c r="K37" s="235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4" t="str">
        <f>IF('Timesheet-Regular'!$D$6="No","",'Timesheet-Regular'!G45)</f>
        <v/>
      </c>
    </row>
    <row r="38" spans="1:12">
      <c r="A38" s="102" t="s">
        <v>210</v>
      </c>
      <c r="B38" s="94" t="s">
        <v>202</v>
      </c>
      <c r="C38" s="5"/>
      <c r="D38" s="5"/>
      <c r="F38" s="113"/>
      <c r="K38" s="235"/>
      <c r="L38" s="234"/>
    </row>
    <row r="39" spans="1:12">
      <c r="B39" s="94" t="s">
        <v>26</v>
      </c>
      <c r="F39" s="113"/>
      <c r="K39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4" t="str">
        <f>IF('Timesheet-Regular'!$D$6="No","",'Timesheet-Regular'!G47)</f>
        <v/>
      </c>
    </row>
    <row r="40" spans="1:12">
      <c r="A40" s="103" t="s">
        <v>16</v>
      </c>
      <c r="B40" s="94" t="s">
        <v>127</v>
      </c>
      <c r="F40" s="113"/>
      <c r="K40" s="235"/>
      <c r="L40" s="234"/>
    </row>
    <row r="41" spans="1:12">
      <c r="A41" s="103"/>
      <c r="B41" s="94" t="s">
        <v>27</v>
      </c>
      <c r="F41" s="113"/>
      <c r="K41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4" t="str">
        <f>IF('Timesheet-Regular'!$D$6="No","",'Timesheet-Regular'!G49)</f>
        <v/>
      </c>
    </row>
    <row r="42" spans="1:12">
      <c r="A42" s="103" t="s">
        <v>135</v>
      </c>
      <c r="B42" s="94" t="s">
        <v>177</v>
      </c>
      <c r="F42" s="113"/>
      <c r="K42" s="235"/>
      <c r="L42" s="234"/>
    </row>
    <row r="43" spans="1:12">
      <c r="A43" s="103" t="s">
        <v>32</v>
      </c>
      <c r="B43" s="94" t="s">
        <v>30</v>
      </c>
      <c r="F43" s="113"/>
      <c r="K43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4" t="str">
        <f>IF('Timesheet-Regular'!$D$6="No","",'Timesheet-Regular'!G51)</f>
        <v/>
      </c>
    </row>
    <row r="44" spans="1:12">
      <c r="A44" s="103" t="s">
        <v>78</v>
      </c>
      <c r="B44" s="94" t="s">
        <v>39</v>
      </c>
      <c r="F44" s="113"/>
      <c r="K44" s="235"/>
      <c r="L44" s="234"/>
    </row>
    <row r="45" spans="1:12">
      <c r="A45" s="103" t="s">
        <v>35</v>
      </c>
      <c r="B45" s="94" t="s">
        <v>28</v>
      </c>
      <c r="F45" s="113"/>
      <c r="K45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4" t="str">
        <f>IF('Timesheet-Regular'!$D$6="No","",'Timesheet-Regular'!G53)</f>
        <v/>
      </c>
    </row>
    <row r="46" spans="1:12">
      <c r="A46" s="103" t="s">
        <v>136</v>
      </c>
      <c r="B46" s="94" t="s">
        <v>211</v>
      </c>
      <c r="F46" s="113"/>
      <c r="K46" s="235"/>
      <c r="L46" s="234"/>
    </row>
    <row r="47" spans="1:12">
      <c r="A47" s="103" t="s">
        <v>177</v>
      </c>
      <c r="B47" s="94" t="s">
        <v>201</v>
      </c>
      <c r="F47" s="113"/>
      <c r="K47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4" t="str">
        <f>IF('Timesheet-Regular'!$D$6="No","",'Timesheet-Regular'!G55)</f>
        <v/>
      </c>
    </row>
    <row r="48" spans="1:12">
      <c r="A48" s="103" t="s">
        <v>36</v>
      </c>
      <c r="B48" s="94" t="s">
        <v>198</v>
      </c>
      <c r="F48" s="113"/>
      <c r="K48" s="235"/>
      <c r="L48" s="234"/>
    </row>
    <row r="49" spans="1:12">
      <c r="A49" s="103" t="s">
        <v>175</v>
      </c>
      <c r="B49" s="94" t="s">
        <v>206</v>
      </c>
      <c r="F49" s="113"/>
      <c r="K49" s="235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4" t="str">
        <f>IF('Timesheet-Regular'!$D$6="No","",'Timesheet-Regular'!G57)</f>
        <v/>
      </c>
    </row>
    <row r="50" spans="1:12">
      <c r="A50" s="103" t="s">
        <v>82</v>
      </c>
      <c r="B50" s="94" t="s">
        <v>21</v>
      </c>
      <c r="F50" s="113"/>
      <c r="K50" s="235"/>
      <c r="L50" s="234"/>
    </row>
    <row r="51" spans="1:12">
      <c r="A51" s="103" t="s">
        <v>83</v>
      </c>
      <c r="B51" s="94" t="s">
        <v>204</v>
      </c>
      <c r="F51" s="113"/>
      <c r="K51" s="235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4" t="str">
        <f>IF('Timesheet-Regular'!$D$6="No","",'Timesheet-Regular'!G59)</f>
        <v/>
      </c>
    </row>
    <row r="52" spans="1:12">
      <c r="A52" s="103" t="s">
        <v>38</v>
      </c>
      <c r="B52" s="94" t="s">
        <v>199</v>
      </c>
      <c r="F52" s="113"/>
      <c r="K52" s="235"/>
      <c r="L52" s="234"/>
    </row>
    <row r="53" spans="1:12">
      <c r="A53" s="103"/>
      <c r="B53" s="94" t="s">
        <v>203</v>
      </c>
      <c r="F53" s="113"/>
      <c r="K53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4" t="str">
        <f>IF('Timesheet-Regular'!$D$6="No","",'Timesheet-Regular'!G61)</f>
        <v/>
      </c>
    </row>
    <row r="54" spans="1:12">
      <c r="A54" s="103" t="s">
        <v>84</v>
      </c>
      <c r="B54" s="94" t="s">
        <v>191</v>
      </c>
      <c r="F54" s="113"/>
      <c r="K54" s="235"/>
      <c r="L54" s="234"/>
    </row>
    <row r="55" spans="1:12">
      <c r="A55" s="103" t="s">
        <v>29</v>
      </c>
      <c r="B55" s="94" t="s">
        <v>146</v>
      </c>
      <c r="F55" s="113"/>
      <c r="K55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4" t="str">
        <f>IF('Timesheet-Regular'!$D$6="No","",'Timesheet-Regular'!G63)</f>
        <v/>
      </c>
    </row>
    <row r="56" spans="1:12">
      <c r="A56" s="103" t="s">
        <v>27</v>
      </c>
      <c r="B56" s="94" t="s">
        <v>194</v>
      </c>
      <c r="F56" s="113"/>
      <c r="K56" s="235"/>
      <c r="L56" s="234"/>
    </row>
    <row r="57" spans="1:12">
      <c r="A57" s="103" t="s">
        <v>39</v>
      </c>
      <c r="B57" s="94" t="s">
        <v>205</v>
      </c>
      <c r="F57" s="113"/>
      <c r="K57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4" t="str">
        <f>IF('Timesheet-Regular'!$D$6="No","",'Timesheet-Regular'!G65)</f>
        <v/>
      </c>
    </row>
    <row r="58" spans="1:12">
      <c r="A58" s="103" t="s">
        <v>146</v>
      </c>
      <c r="B58" s="94" t="s">
        <v>40</v>
      </c>
      <c r="F58" s="113"/>
      <c r="K58" s="235"/>
      <c r="L58" s="234"/>
    </row>
    <row r="59" spans="1:12">
      <c r="A59" s="103"/>
      <c r="B59" s="94" t="s">
        <v>209</v>
      </c>
      <c r="F59" s="113"/>
      <c r="K59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4"/>
    </row>
    <row r="60" spans="1:12">
      <c r="A60" s="103" t="s">
        <v>22</v>
      </c>
      <c r="B60" s="94" t="s">
        <v>200</v>
      </c>
      <c r="F60" s="113"/>
      <c r="K60" s="235"/>
      <c r="L60" s="105"/>
    </row>
    <row r="61" spans="1:12">
      <c r="A61" s="103" t="s">
        <v>31</v>
      </c>
      <c r="B61" s="94" t="s">
        <v>22</v>
      </c>
      <c r="F61" s="113"/>
      <c r="K61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4" t="str">
        <f>IF('Timesheet-Regular'!$D$6="No","",'Timesheet-Regular'!G67)</f>
        <v/>
      </c>
    </row>
    <row r="62" spans="1:12">
      <c r="A62" s="103" t="s">
        <v>191</v>
      </c>
      <c r="B62" s="94" t="s">
        <v>178</v>
      </c>
      <c r="F62" s="113"/>
      <c r="K62" s="235"/>
      <c r="L62" s="234"/>
    </row>
    <row r="63" spans="1:12">
      <c r="A63" s="103"/>
      <c r="B63" s="94" t="s">
        <v>31</v>
      </c>
      <c r="F63" s="113"/>
      <c r="K63" s="235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4"/>
    </row>
    <row r="64" spans="1:12">
      <c r="A64" s="103" t="s">
        <v>41</v>
      </c>
      <c r="B64" s="94" t="s">
        <v>215</v>
      </c>
      <c r="F64" s="113"/>
      <c r="K64" s="235"/>
      <c r="L64" s="234"/>
    </row>
    <row r="65" spans="1:12">
      <c r="A65" s="104" t="s">
        <v>179</v>
      </c>
      <c r="B65" s="94" t="s">
        <v>41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0" t="s">
        <v>33</v>
      </c>
      <c r="B66" s="94" t="s">
        <v>23</v>
      </c>
      <c r="F66" s="113"/>
      <c r="K66" s="235"/>
      <c r="L66" s="105"/>
    </row>
    <row r="67" spans="1:12">
      <c r="A67" s="101" t="s">
        <v>17</v>
      </c>
      <c r="B67" s="94" t="s">
        <v>145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2" t="s">
        <v>24</v>
      </c>
      <c r="B68" s="94" t="s">
        <v>193</v>
      </c>
      <c r="F68" s="113"/>
      <c r="K68" s="235"/>
      <c r="L68" s="234"/>
    </row>
    <row r="69" spans="1:12">
      <c r="A69" s="102" t="s">
        <v>80</v>
      </c>
      <c r="B69" s="94" t="s">
        <v>196</v>
      </c>
      <c r="F69" s="113"/>
      <c r="K69" s="235"/>
      <c r="L69" s="234"/>
    </row>
    <row r="70" spans="1:12">
      <c r="A70" s="102" t="s">
        <v>18</v>
      </c>
      <c r="B70" s="94" t="s">
        <v>197</v>
      </c>
      <c r="F70" s="113"/>
      <c r="K70" s="235"/>
      <c r="L70" s="98"/>
    </row>
    <row r="71" spans="1:12">
      <c r="A71" s="101" t="s">
        <v>204</v>
      </c>
      <c r="B71" s="94" t="s">
        <v>210</v>
      </c>
      <c r="F71" s="113"/>
      <c r="K71" s="235"/>
    </row>
    <row r="72" spans="1:12">
      <c r="A72" s="100" t="s">
        <v>19</v>
      </c>
      <c r="B72" s="94" t="s">
        <v>212</v>
      </c>
      <c r="F72" s="113"/>
      <c r="K72" s="235"/>
    </row>
    <row r="73" spans="1:12">
      <c r="A73" s="102" t="s">
        <v>203</v>
      </c>
      <c r="B73" s="94" t="s">
        <v>42</v>
      </c>
      <c r="F73" s="113"/>
      <c r="K73" s="235"/>
    </row>
    <row r="74" spans="1:12">
      <c r="A74" s="102" t="s">
        <v>189</v>
      </c>
      <c r="B74" s="94"/>
      <c r="F74" s="113"/>
      <c r="K74" s="235"/>
    </row>
    <row r="75" spans="1:12">
      <c r="A75" s="102" t="s">
        <v>25</v>
      </c>
      <c r="F75" s="113"/>
      <c r="K75" s="235"/>
    </row>
    <row r="76" spans="1:12">
      <c r="A76" s="100" t="s">
        <v>20</v>
      </c>
      <c r="F76" s="113"/>
      <c r="K76" s="235"/>
    </row>
    <row r="77" spans="1:12">
      <c r="A77" s="102" t="s">
        <v>85</v>
      </c>
      <c r="F77" s="113"/>
      <c r="K77" s="235"/>
    </row>
    <row r="78" spans="1:12">
      <c r="A78" s="102" t="s">
        <v>202</v>
      </c>
      <c r="F78" s="113"/>
      <c r="K78" s="235"/>
    </row>
    <row r="79" spans="1:12">
      <c r="A79" s="102" t="s">
        <v>210</v>
      </c>
      <c r="F79" s="113"/>
      <c r="K79" s="235"/>
    </row>
    <row r="80" spans="1:12">
      <c r="A80" s="101" t="s">
        <v>27</v>
      </c>
      <c r="F80" s="113"/>
      <c r="K80" s="235"/>
    </row>
    <row r="81" spans="1:11">
      <c r="A81" s="101" t="s">
        <v>205</v>
      </c>
      <c r="F81" s="113"/>
      <c r="K81" s="235"/>
    </row>
    <row r="82" spans="1:11">
      <c r="A82" s="102" t="s">
        <v>200</v>
      </c>
      <c r="F82" s="113"/>
      <c r="K82" s="235"/>
    </row>
    <row r="83" spans="1:11">
      <c r="A83" s="102" t="s">
        <v>79</v>
      </c>
      <c r="F83" s="113"/>
      <c r="K83" s="235"/>
    </row>
    <row r="84" spans="1:11">
      <c r="A84" s="102" t="s">
        <v>26</v>
      </c>
      <c r="F84" s="113"/>
      <c r="K84" s="235"/>
    </row>
    <row r="85" spans="1:11">
      <c r="A85" s="102" t="s">
        <v>212</v>
      </c>
      <c r="F85" s="113"/>
      <c r="K85" s="235"/>
    </row>
    <row r="86" spans="1:11">
      <c r="A86" s="102" t="s">
        <v>30</v>
      </c>
      <c r="F86" s="113"/>
      <c r="K86" s="235"/>
    </row>
    <row r="87" spans="1:11">
      <c r="A87" s="102" t="s">
        <v>193</v>
      </c>
      <c r="F87" s="113"/>
      <c r="K87" s="235"/>
    </row>
    <row r="88" spans="1:11">
      <c r="A88" s="102" t="s">
        <v>197</v>
      </c>
      <c r="F88" s="113"/>
      <c r="K88" s="235"/>
    </row>
    <row r="89" spans="1:11">
      <c r="A89" s="102" t="s">
        <v>213</v>
      </c>
      <c r="F89" s="113"/>
      <c r="K89" s="235"/>
    </row>
    <row r="90" spans="1:11">
      <c r="A90" s="101" t="s">
        <v>21</v>
      </c>
      <c r="F90" s="113"/>
      <c r="K90" s="235"/>
    </row>
    <row r="91" spans="1:11">
      <c r="A91" s="101" t="s">
        <v>40</v>
      </c>
      <c r="F91" s="113"/>
      <c r="K91" s="235"/>
    </row>
    <row r="92" spans="1:11">
      <c r="A92" s="102" t="s">
        <v>145</v>
      </c>
      <c r="F92" s="113"/>
      <c r="K92" s="235"/>
    </row>
    <row r="93" spans="1:11">
      <c r="A93" s="102" t="s">
        <v>23</v>
      </c>
      <c r="F93" s="113"/>
      <c r="K93" s="235"/>
    </row>
    <row r="94" spans="1:11">
      <c r="A94" s="102" t="s">
        <v>42</v>
      </c>
      <c r="F94" s="113"/>
      <c r="K94" s="235"/>
    </row>
    <row r="95" spans="1:11">
      <c r="F95" s="113"/>
      <c r="K95" s="235"/>
    </row>
    <row r="96" spans="1:11">
      <c r="F96" s="113"/>
      <c r="K96" s="235"/>
    </row>
    <row r="97" spans="6:11">
      <c r="F97" s="113"/>
      <c r="K97" s="235"/>
    </row>
    <row r="98" spans="6:11">
      <c r="F98" s="113"/>
      <c r="K98" s="235"/>
    </row>
    <row r="99" spans="6:11">
      <c r="F99" s="113"/>
      <c r="K99" s="235"/>
    </row>
    <row r="100" spans="6:11">
      <c r="F100" s="113"/>
      <c r="K100" s="235"/>
    </row>
    <row r="101" spans="6:11">
      <c r="F101" s="113"/>
      <c r="K101" s="235"/>
    </row>
    <row r="102" spans="6:11">
      <c r="F102" s="113"/>
      <c r="K102" s="235"/>
    </row>
    <row r="103" spans="6:11">
      <c r="F103" s="113"/>
      <c r="K103" s="235"/>
    </row>
    <row r="104" spans="6:11">
      <c r="F104" s="113"/>
      <c r="K104" s="235"/>
    </row>
    <row r="105" spans="6:11">
      <c r="F105" s="113"/>
      <c r="K105" s="235"/>
    </row>
    <row r="106" spans="6:11">
      <c r="F106" s="113"/>
      <c r="K106" s="235"/>
    </row>
    <row r="107" spans="6:11">
      <c r="F107" s="113"/>
      <c r="K107" s="235"/>
    </row>
    <row r="108" spans="6:11">
      <c r="F108" s="113"/>
      <c r="K108" s="235"/>
    </row>
    <row r="109" spans="6:11">
      <c r="F109" s="113"/>
    </row>
    <row r="110" spans="6:11">
      <c r="F110" s="113"/>
    </row>
    <row r="111" spans="6:11">
      <c r="F111" s="113"/>
    </row>
    <row r="112" spans="6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153</v>
      </c>
      <c r="E3" s="84" t="s">
        <v>154</v>
      </c>
      <c r="F3" s="83" t="s">
        <v>152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158">
        <f>'Timesheet-Regular'!C11</f>
        <v>44287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15"/>
      <c r="J4" s="216"/>
      <c r="K4" s="216"/>
      <c r="L4" s="216"/>
      <c r="M4" s="216"/>
      <c r="N4" s="216"/>
      <c r="O4" s="216"/>
      <c r="P4" s="217"/>
    </row>
    <row r="5" spans="1:17" ht="15.75">
      <c r="A5" s="159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15"/>
      <c r="J5" s="216"/>
      <c r="K5" s="216"/>
      <c r="L5" s="216"/>
      <c r="M5" s="216"/>
      <c r="N5" s="216"/>
      <c r="O5" s="216"/>
      <c r="P5" s="217"/>
    </row>
    <row r="6" spans="1:17" ht="15.75">
      <c r="A6" s="158">
        <f>'Timesheet-Regular'!C13</f>
        <v>44288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15"/>
      <c r="J6" s="216"/>
      <c r="K6" s="216"/>
      <c r="L6" s="216"/>
      <c r="M6" s="216"/>
      <c r="N6" s="216"/>
      <c r="O6" s="216"/>
      <c r="P6" s="217"/>
    </row>
    <row r="7" spans="1:17" ht="15.75">
      <c r="A7" s="159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15"/>
      <c r="J7" s="216"/>
      <c r="K7" s="216"/>
      <c r="L7" s="216"/>
      <c r="M7" s="216"/>
      <c r="N7" s="216"/>
      <c r="O7" s="216"/>
      <c r="P7" s="217"/>
      <c r="Q7" s="85"/>
    </row>
    <row r="8" spans="1:17" ht="15.75">
      <c r="A8" s="158">
        <f>'Timesheet-Regular'!C15</f>
        <v>44289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15"/>
      <c r="J8" s="216"/>
      <c r="K8" s="216"/>
      <c r="L8" s="216"/>
      <c r="M8" s="216"/>
      <c r="N8" s="216"/>
      <c r="O8" s="216"/>
      <c r="P8" s="217"/>
      <c r="Q8" s="85"/>
    </row>
    <row r="9" spans="1:17" ht="15.75">
      <c r="A9" s="159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15"/>
      <c r="J9" s="216"/>
      <c r="K9" s="216"/>
      <c r="L9" s="216"/>
      <c r="M9" s="216"/>
      <c r="N9" s="216"/>
      <c r="O9" s="216"/>
      <c r="P9" s="217"/>
    </row>
    <row r="10" spans="1:17" ht="15.75">
      <c r="A10" s="158">
        <f>'Timesheet-Regular'!C17</f>
        <v>44290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15"/>
      <c r="J10" s="216"/>
      <c r="K10" s="216"/>
      <c r="L10" s="216"/>
      <c r="M10" s="216"/>
      <c r="N10" s="216"/>
      <c r="O10" s="216"/>
      <c r="P10" s="217"/>
    </row>
    <row r="11" spans="1:17" ht="15.75">
      <c r="A11" s="159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15"/>
      <c r="J11" s="216"/>
      <c r="K11" s="216"/>
      <c r="L11" s="216"/>
      <c r="M11" s="216"/>
      <c r="N11" s="216"/>
      <c r="O11" s="216"/>
      <c r="P11" s="217"/>
    </row>
    <row r="12" spans="1:17" ht="15.75">
      <c r="A12" s="158">
        <f>'Timesheet-Regular'!C19</f>
        <v>44291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15"/>
      <c r="J12" s="216"/>
      <c r="K12" s="216"/>
      <c r="L12" s="216"/>
      <c r="M12" s="216"/>
      <c r="N12" s="216"/>
      <c r="O12" s="216"/>
      <c r="P12" s="217"/>
    </row>
    <row r="13" spans="1:17" ht="15.75">
      <c r="A13" s="159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15"/>
      <c r="J13" s="216"/>
      <c r="K13" s="216"/>
      <c r="L13" s="216"/>
      <c r="M13" s="216"/>
      <c r="N13" s="216"/>
      <c r="O13" s="216"/>
      <c r="P13" s="217"/>
    </row>
    <row r="14" spans="1:17" ht="15.75">
      <c r="A14" s="158">
        <f>'Timesheet-Regular'!C21</f>
        <v>44292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15"/>
      <c r="J14" s="216"/>
      <c r="K14" s="216"/>
      <c r="L14" s="216"/>
      <c r="M14" s="216"/>
      <c r="N14" s="216"/>
      <c r="O14" s="216"/>
      <c r="P14" s="217"/>
    </row>
    <row r="15" spans="1:17" ht="15.75">
      <c r="A15" s="159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15"/>
      <c r="J15" s="216"/>
      <c r="K15" s="216"/>
      <c r="L15" s="216"/>
      <c r="M15" s="216"/>
      <c r="N15" s="216"/>
      <c r="O15" s="216"/>
      <c r="P15" s="217"/>
    </row>
    <row r="16" spans="1:17" ht="15.75">
      <c r="A16" s="158">
        <f>'Timesheet-Regular'!C23</f>
        <v>44293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15"/>
      <c r="J16" s="216"/>
      <c r="K16" s="216"/>
      <c r="L16" s="216"/>
      <c r="M16" s="216"/>
      <c r="N16" s="216"/>
      <c r="O16" s="216"/>
      <c r="P16" s="217"/>
    </row>
    <row r="17" spans="1:16" ht="15.75">
      <c r="A17" s="159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15"/>
      <c r="J17" s="216"/>
      <c r="K17" s="216"/>
      <c r="L17" s="216"/>
      <c r="M17" s="216"/>
      <c r="N17" s="216"/>
      <c r="O17" s="216"/>
      <c r="P17" s="217"/>
    </row>
    <row r="18" spans="1:16" ht="15.75">
      <c r="A18" s="158">
        <f>'Timesheet-Regular'!C25</f>
        <v>44294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15"/>
      <c r="J18" s="216"/>
      <c r="K18" s="216"/>
      <c r="L18" s="216"/>
      <c r="M18" s="216"/>
      <c r="N18" s="216"/>
      <c r="O18" s="216"/>
      <c r="P18" s="217"/>
    </row>
    <row r="19" spans="1:16" ht="15.75">
      <c r="A19" s="159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15"/>
      <c r="J19" s="216"/>
      <c r="K19" s="216"/>
      <c r="L19" s="216"/>
      <c r="M19" s="216"/>
      <c r="N19" s="216"/>
      <c r="O19" s="216"/>
      <c r="P19" s="217"/>
    </row>
    <row r="20" spans="1:16" ht="15.75">
      <c r="A20" s="158">
        <f>'Timesheet-Regular'!C27</f>
        <v>44295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15"/>
      <c r="J20" s="216"/>
      <c r="K20" s="216"/>
      <c r="L20" s="216"/>
      <c r="M20" s="216"/>
      <c r="N20" s="216"/>
      <c r="O20" s="216"/>
      <c r="P20" s="217"/>
    </row>
    <row r="21" spans="1:16" ht="15.75">
      <c r="A21" s="159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15"/>
      <c r="J21" s="216"/>
      <c r="K21" s="216"/>
      <c r="L21" s="216"/>
      <c r="M21" s="216"/>
      <c r="N21" s="216"/>
      <c r="O21" s="216"/>
      <c r="P21" s="217"/>
    </row>
    <row r="22" spans="1:16" ht="15.75">
      <c r="A22" s="158">
        <f>'Timesheet-Regular'!C29</f>
        <v>44296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15"/>
      <c r="J22" s="216"/>
      <c r="K22" s="216"/>
      <c r="L22" s="216"/>
      <c r="M22" s="216"/>
      <c r="N22" s="216"/>
      <c r="O22" s="216"/>
      <c r="P22" s="217"/>
    </row>
    <row r="23" spans="1:16" ht="15.75">
      <c r="A23" s="159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15"/>
      <c r="J23" s="216"/>
      <c r="K23" s="216"/>
      <c r="L23" s="216"/>
      <c r="M23" s="216"/>
      <c r="N23" s="216"/>
      <c r="O23" s="216"/>
      <c r="P23" s="217"/>
    </row>
    <row r="24" spans="1:16" ht="15.75">
      <c r="A24" s="158">
        <f>'Timesheet-Regular'!C31</f>
        <v>44297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15"/>
      <c r="J24" s="216"/>
      <c r="K24" s="216"/>
      <c r="L24" s="216"/>
      <c r="M24" s="216"/>
      <c r="N24" s="216"/>
      <c r="O24" s="216"/>
      <c r="P24" s="217"/>
    </row>
    <row r="25" spans="1:16" ht="15.75">
      <c r="A25" s="159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15"/>
      <c r="J25" s="216"/>
      <c r="K25" s="216"/>
      <c r="L25" s="216"/>
      <c r="M25" s="216"/>
      <c r="N25" s="216"/>
      <c r="O25" s="216"/>
      <c r="P25" s="217"/>
    </row>
    <row r="26" spans="1:16" ht="15.75">
      <c r="A26" s="158">
        <f>'Timesheet-Regular'!C33</f>
        <v>44298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15"/>
      <c r="J26" s="216"/>
      <c r="K26" s="216"/>
      <c r="L26" s="216"/>
      <c r="M26" s="216"/>
      <c r="N26" s="216"/>
      <c r="O26" s="216"/>
      <c r="P26" s="217"/>
    </row>
    <row r="27" spans="1:16" ht="15.75">
      <c r="A27" s="159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15"/>
      <c r="J27" s="216"/>
      <c r="K27" s="216"/>
      <c r="L27" s="216"/>
      <c r="M27" s="216"/>
      <c r="N27" s="216"/>
      <c r="O27" s="216"/>
      <c r="P27" s="217"/>
    </row>
    <row r="28" spans="1:16" ht="15.75">
      <c r="A28" s="158">
        <f>'Timesheet-Regular'!C35</f>
        <v>44299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15"/>
      <c r="J28" s="216"/>
      <c r="K28" s="216"/>
      <c r="L28" s="216"/>
      <c r="M28" s="216"/>
      <c r="N28" s="216"/>
      <c r="O28" s="216"/>
      <c r="P28" s="217"/>
    </row>
    <row r="29" spans="1:16" ht="15.75">
      <c r="A29" s="159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15"/>
      <c r="J29" s="216"/>
      <c r="K29" s="216"/>
      <c r="L29" s="216"/>
      <c r="M29" s="216"/>
      <c r="N29" s="216"/>
      <c r="O29" s="216"/>
      <c r="P29" s="217"/>
    </row>
    <row r="30" spans="1:16" ht="15.75">
      <c r="A30" s="158">
        <f>'Timesheet-Regular'!C37</f>
        <v>44300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15"/>
      <c r="J30" s="216"/>
      <c r="K30" s="216"/>
      <c r="L30" s="216"/>
      <c r="M30" s="216"/>
      <c r="N30" s="216"/>
      <c r="O30" s="216"/>
      <c r="P30" s="217"/>
    </row>
    <row r="31" spans="1:16" ht="15.75">
      <c r="A31" s="159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15"/>
      <c r="J31" s="216"/>
      <c r="K31" s="216"/>
      <c r="L31" s="216"/>
      <c r="M31" s="216"/>
      <c r="N31" s="216"/>
      <c r="O31" s="216"/>
      <c r="P31" s="217"/>
    </row>
    <row r="32" spans="1:16" ht="15.75">
      <c r="A32" s="158">
        <f>'Timesheet-Regular'!C39</f>
        <v>44301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15"/>
      <c r="J32" s="216"/>
      <c r="K32" s="216"/>
      <c r="L32" s="216"/>
      <c r="M32" s="216"/>
      <c r="N32" s="216"/>
      <c r="O32" s="216"/>
      <c r="P32" s="217"/>
    </row>
    <row r="33" spans="1:16" ht="15.75">
      <c r="A33" s="159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15"/>
      <c r="J33" s="216"/>
      <c r="K33" s="216"/>
      <c r="L33" s="216"/>
      <c r="M33" s="216"/>
      <c r="N33" s="216"/>
      <c r="O33" s="216"/>
      <c r="P33" s="217"/>
    </row>
    <row r="34" spans="1:16" ht="15.75">
      <c r="A34" s="158">
        <f>'Timesheet-Regular'!C41</f>
        <v>44302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15"/>
      <c r="J34" s="216"/>
      <c r="K34" s="216"/>
      <c r="L34" s="216"/>
      <c r="M34" s="216"/>
      <c r="N34" s="216"/>
      <c r="O34" s="216"/>
      <c r="P34" s="217"/>
    </row>
    <row r="35" spans="1:16" ht="15.75">
      <c r="A35" s="159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15"/>
      <c r="J35" s="216"/>
      <c r="K35" s="216"/>
      <c r="L35" s="216"/>
      <c r="M35" s="216"/>
      <c r="N35" s="216"/>
      <c r="O35" s="216"/>
      <c r="P35" s="217"/>
    </row>
    <row r="36" spans="1:16" ht="15.75">
      <c r="A36" s="158">
        <f>'Timesheet-Regular'!C43</f>
        <v>44303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15"/>
      <c r="J36" s="216"/>
      <c r="K36" s="216"/>
      <c r="L36" s="216"/>
      <c r="M36" s="216"/>
      <c r="N36" s="216"/>
      <c r="O36" s="216"/>
      <c r="P36" s="217"/>
    </row>
    <row r="37" spans="1:16" ht="15.75">
      <c r="A37" s="159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15"/>
      <c r="J37" s="216"/>
      <c r="K37" s="216"/>
      <c r="L37" s="216"/>
      <c r="M37" s="216"/>
      <c r="N37" s="216"/>
      <c r="O37" s="216"/>
      <c r="P37" s="217"/>
    </row>
    <row r="38" spans="1:16" ht="15.75">
      <c r="A38" s="158">
        <f>'Timesheet-Regular'!C45</f>
        <v>44304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15"/>
      <c r="J38" s="216"/>
      <c r="K38" s="216"/>
      <c r="L38" s="216"/>
      <c r="M38" s="216"/>
      <c r="N38" s="216"/>
      <c r="O38" s="216"/>
      <c r="P38" s="217"/>
    </row>
    <row r="39" spans="1:16" ht="15.75">
      <c r="A39" s="159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15"/>
      <c r="J39" s="216"/>
      <c r="K39" s="216"/>
      <c r="L39" s="216"/>
      <c r="M39" s="216"/>
      <c r="N39" s="216"/>
      <c r="O39" s="216"/>
      <c r="P39" s="217"/>
    </row>
    <row r="40" spans="1:16" ht="15.75">
      <c r="A40" s="158">
        <f>'Timesheet-Regular'!C47</f>
        <v>44305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15"/>
      <c r="J40" s="216"/>
      <c r="K40" s="216"/>
      <c r="L40" s="216"/>
      <c r="M40" s="216"/>
      <c r="N40" s="216"/>
      <c r="O40" s="216"/>
      <c r="P40" s="217"/>
    </row>
    <row r="41" spans="1:16" ht="15.75">
      <c r="A41" s="159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15"/>
      <c r="J41" s="216"/>
      <c r="K41" s="216"/>
      <c r="L41" s="216"/>
      <c r="M41" s="216"/>
      <c r="N41" s="216"/>
      <c r="O41" s="216"/>
      <c r="P41" s="217"/>
    </row>
    <row r="42" spans="1:16" ht="15.75">
      <c r="A42" s="158">
        <f>'Timesheet-Regular'!C49</f>
        <v>44306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15"/>
      <c r="J42" s="216"/>
      <c r="K42" s="216"/>
      <c r="L42" s="216"/>
      <c r="M42" s="216"/>
      <c r="N42" s="216"/>
      <c r="O42" s="216"/>
      <c r="P42" s="217"/>
    </row>
    <row r="43" spans="1:16" ht="15.75">
      <c r="A43" s="159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15"/>
      <c r="J43" s="216"/>
      <c r="K43" s="216"/>
      <c r="L43" s="216"/>
      <c r="M43" s="216"/>
      <c r="N43" s="216"/>
      <c r="O43" s="216"/>
      <c r="P43" s="217"/>
    </row>
    <row r="44" spans="1:16" ht="15.75">
      <c r="A44" s="158">
        <f>'Timesheet-Regular'!C51</f>
        <v>44307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15"/>
      <c r="J44" s="216"/>
      <c r="K44" s="216"/>
      <c r="L44" s="216"/>
      <c r="M44" s="216"/>
      <c r="N44" s="216"/>
      <c r="O44" s="216"/>
      <c r="P44" s="217"/>
    </row>
    <row r="45" spans="1:16" ht="15.75">
      <c r="A45" s="159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15"/>
      <c r="J45" s="216"/>
      <c r="K45" s="216"/>
      <c r="L45" s="216"/>
      <c r="M45" s="216"/>
      <c r="N45" s="216"/>
      <c r="O45" s="216"/>
      <c r="P45" s="217"/>
    </row>
    <row r="46" spans="1:16" ht="15.75">
      <c r="A46" s="158">
        <f>'Timesheet-Regular'!C53</f>
        <v>44308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15"/>
      <c r="J46" s="216"/>
      <c r="K46" s="216"/>
      <c r="L46" s="216"/>
      <c r="M46" s="216"/>
      <c r="N46" s="216"/>
      <c r="O46" s="216"/>
      <c r="P46" s="217"/>
    </row>
    <row r="47" spans="1:16" ht="15.75">
      <c r="A47" s="159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15"/>
      <c r="J47" s="216"/>
      <c r="K47" s="216"/>
      <c r="L47" s="216"/>
      <c r="M47" s="216"/>
      <c r="N47" s="216"/>
      <c r="O47" s="216"/>
      <c r="P47" s="217"/>
    </row>
    <row r="48" spans="1:16" ht="15.75">
      <c r="A48" s="158">
        <f>'Timesheet-Regular'!C55</f>
        <v>44309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15"/>
      <c r="J48" s="216"/>
      <c r="K48" s="216"/>
      <c r="L48" s="216"/>
      <c r="M48" s="216"/>
      <c r="N48" s="216"/>
      <c r="O48" s="216"/>
      <c r="P48" s="217"/>
    </row>
    <row r="49" spans="1:16" ht="15.75">
      <c r="A49" s="159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15"/>
      <c r="J49" s="216"/>
      <c r="K49" s="216"/>
      <c r="L49" s="216"/>
      <c r="M49" s="216"/>
      <c r="N49" s="216"/>
      <c r="O49" s="216"/>
      <c r="P49" s="217"/>
    </row>
    <row r="50" spans="1:16" ht="15.75">
      <c r="A50" s="158">
        <f>'Timesheet-Regular'!C57</f>
        <v>44310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15"/>
      <c r="J50" s="216"/>
      <c r="K50" s="216"/>
      <c r="L50" s="216"/>
      <c r="M50" s="216"/>
      <c r="N50" s="216"/>
      <c r="O50" s="216"/>
      <c r="P50" s="217"/>
    </row>
    <row r="51" spans="1:16" ht="15.75">
      <c r="A51" s="159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15"/>
      <c r="J51" s="216"/>
      <c r="K51" s="216"/>
      <c r="L51" s="216"/>
      <c r="M51" s="216"/>
      <c r="N51" s="216"/>
      <c r="O51" s="216"/>
      <c r="P51" s="217"/>
    </row>
    <row r="52" spans="1:16" ht="15.75">
      <c r="A52" s="158">
        <f>'Timesheet-Regular'!C59</f>
        <v>44311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15"/>
      <c r="J52" s="216"/>
      <c r="K52" s="216"/>
      <c r="L52" s="216"/>
      <c r="M52" s="216"/>
      <c r="N52" s="216"/>
      <c r="O52" s="216"/>
      <c r="P52" s="217"/>
    </row>
    <row r="53" spans="1:16" ht="15.75">
      <c r="A53" s="159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15"/>
      <c r="J53" s="216"/>
      <c r="K53" s="216"/>
      <c r="L53" s="216"/>
      <c r="M53" s="216"/>
      <c r="N53" s="216"/>
      <c r="O53" s="216"/>
      <c r="P53" s="217"/>
    </row>
    <row r="54" spans="1:16" ht="15.75">
      <c r="A54" s="158">
        <f>'Timesheet-Regular'!C61</f>
        <v>44312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15"/>
      <c r="J54" s="216"/>
      <c r="K54" s="216"/>
      <c r="L54" s="216"/>
      <c r="M54" s="216"/>
      <c r="N54" s="216"/>
      <c r="O54" s="216"/>
      <c r="P54" s="217"/>
    </row>
    <row r="55" spans="1:16" ht="15.75">
      <c r="A55" s="159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15"/>
      <c r="J55" s="216"/>
      <c r="K55" s="216"/>
      <c r="L55" s="216"/>
      <c r="M55" s="216"/>
      <c r="N55" s="216"/>
      <c r="O55" s="216"/>
      <c r="P55" s="217"/>
    </row>
    <row r="56" spans="1:16" ht="15.75">
      <c r="A56" s="158">
        <f>'Timesheet-Regular'!C63</f>
        <v>44313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15"/>
      <c r="J56" s="216"/>
      <c r="K56" s="216"/>
      <c r="L56" s="216"/>
      <c r="M56" s="216"/>
      <c r="N56" s="216"/>
      <c r="O56" s="216"/>
      <c r="P56" s="217"/>
    </row>
    <row r="57" spans="1:16" ht="15.75">
      <c r="A57" s="159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15"/>
      <c r="J57" s="216"/>
      <c r="K57" s="216"/>
      <c r="L57" s="216"/>
      <c r="M57" s="216"/>
      <c r="N57" s="216"/>
      <c r="O57" s="216"/>
      <c r="P57" s="217"/>
    </row>
    <row r="58" spans="1:16" ht="15.75">
      <c r="A58" s="158">
        <f>'Timesheet-Regular'!C65</f>
        <v>44314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15"/>
      <c r="J58" s="216"/>
      <c r="K58" s="216"/>
      <c r="L58" s="216"/>
      <c r="M58" s="216"/>
      <c r="N58" s="216"/>
      <c r="O58" s="216"/>
      <c r="P58" s="217"/>
    </row>
    <row r="59" spans="1:16" ht="15.75">
      <c r="A59" s="159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15"/>
      <c r="J59" s="216"/>
      <c r="K59" s="216"/>
      <c r="L59" s="216"/>
      <c r="M59" s="216"/>
      <c r="N59" s="216"/>
      <c r="O59" s="216"/>
      <c r="P59" s="217"/>
    </row>
    <row r="60" spans="1:16" ht="15.75">
      <c r="A60" s="158">
        <f>'Timesheet-Regular'!C67</f>
        <v>44315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15"/>
      <c r="J60" s="216"/>
      <c r="K60" s="216"/>
      <c r="L60" s="216"/>
      <c r="M60" s="216"/>
      <c r="N60" s="216"/>
      <c r="O60" s="216"/>
      <c r="P60" s="217"/>
    </row>
    <row r="61" spans="1:16" ht="15.75">
      <c r="A61" s="159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15"/>
      <c r="J61" s="216"/>
      <c r="K61" s="216"/>
      <c r="L61" s="216"/>
      <c r="M61" s="216"/>
      <c r="N61" s="216"/>
      <c r="O61" s="216"/>
      <c r="P61" s="217"/>
    </row>
    <row r="62" spans="1:16" ht="15.75">
      <c r="A62" s="158">
        <f>'Timesheet-Regular'!C69</f>
        <v>44316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15"/>
      <c r="J62" s="216"/>
      <c r="K62" s="216"/>
      <c r="L62" s="216"/>
      <c r="M62" s="216"/>
      <c r="N62" s="216"/>
      <c r="O62" s="216"/>
      <c r="P62" s="217"/>
    </row>
    <row r="63" spans="1:16" ht="15.75">
      <c r="A63" s="159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15"/>
      <c r="J63" s="216"/>
      <c r="K63" s="216"/>
      <c r="L63" s="216"/>
      <c r="M63" s="216"/>
      <c r="N63" s="216"/>
      <c r="O63" s="216"/>
      <c r="P63" s="217"/>
    </row>
    <row r="64" spans="1:16" ht="15.75">
      <c r="A64" s="158">
        <f>'Timesheet-Regular'!C71</f>
        <v>44317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15"/>
      <c r="J64" s="216"/>
      <c r="K64" s="216"/>
      <c r="L64" s="216"/>
      <c r="M64" s="216"/>
      <c r="N64" s="216"/>
      <c r="O64" s="216"/>
      <c r="P64" s="217"/>
    </row>
    <row r="65" spans="1:16" ht="15.75">
      <c r="A65" s="159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15"/>
      <c r="J65" s="216"/>
      <c r="K65" s="216"/>
      <c r="L65" s="216"/>
      <c r="M65" s="216"/>
      <c r="N65" s="216"/>
      <c r="O65" s="216"/>
      <c r="P65" s="217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2021-04-08T03:30:47Z</dcterms:modified>
</cp:coreProperties>
</file>