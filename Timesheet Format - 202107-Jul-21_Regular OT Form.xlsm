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19425" windowHeight="10425" firstSheet="2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F69" i="1"/>
  <c r="F67"/>
  <c r="F65"/>
  <c r="F63"/>
  <c r="F61"/>
  <c r="F59"/>
  <c r="F57"/>
  <c r="F55"/>
  <c r="F53"/>
  <c r="F51"/>
  <c r="F49"/>
  <c r="F47"/>
  <c r="F45"/>
  <c r="F43"/>
  <c r="F41"/>
  <c r="F39"/>
  <c r="F37"/>
  <c r="F35"/>
  <c r="F33"/>
  <c r="F31"/>
  <c r="F29"/>
  <c r="F27"/>
  <c r="F25"/>
  <c r="F23"/>
  <c r="F21"/>
  <c r="F19"/>
  <c r="F17"/>
  <c r="F15"/>
  <c r="F13"/>
  <c r="B65" i="13" l="1"/>
  <c r="C65" s="1"/>
  <c r="G65" s="1"/>
  <c r="B64"/>
  <c r="C64" s="1"/>
  <c r="B61"/>
  <c r="C61" s="1"/>
  <c r="B60"/>
  <c r="C60" s="1"/>
  <c r="B59"/>
  <c r="C59" s="1"/>
  <c r="B58"/>
  <c r="C58" s="1"/>
  <c r="B47"/>
  <c r="C47" s="1"/>
  <c r="G47" s="1"/>
  <c r="B46"/>
  <c r="C46" s="1"/>
  <c r="B45"/>
  <c r="B44"/>
  <c r="C44" s="1"/>
  <c r="B33"/>
  <c r="C33" s="1"/>
  <c r="G33" s="1"/>
  <c r="B32"/>
  <c r="C32" s="1"/>
  <c r="B31"/>
  <c r="C31" s="1"/>
  <c r="G31" s="1"/>
  <c r="B30"/>
  <c r="C30" s="1"/>
  <c r="B19"/>
  <c r="C19" s="1"/>
  <c r="G19" s="1"/>
  <c r="B18"/>
  <c r="C18" s="1"/>
  <c r="B17"/>
  <c r="C17" s="1"/>
  <c r="G17" s="1"/>
  <c r="B16"/>
  <c r="C16" s="1"/>
  <c r="B5"/>
  <c r="C5" s="1"/>
  <c r="G5" s="1"/>
  <c r="B4"/>
  <c r="C4" s="1"/>
  <c r="F18" i="2"/>
  <c r="K65"/>
  <c r="K67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A4" i="13" s="1"/>
  <c r="F4" i="11"/>
  <c r="F3"/>
  <c r="B82" s="1"/>
  <c r="F2"/>
  <c r="K77" i="1"/>
  <c r="I77"/>
  <c r="J77"/>
  <c r="A29" i="10"/>
  <c r="A30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B84" i="1"/>
  <c r="J3" i="2"/>
  <c r="J7" s="1"/>
  <c r="H5" i="3"/>
  <c r="I5" s="1"/>
  <c r="F45" i="13" l="1"/>
  <c r="J5" i="2"/>
  <c r="C45" i="13"/>
  <c r="G45" s="1"/>
  <c r="F64"/>
  <c r="F59"/>
  <c r="J6" i="2"/>
  <c r="F17" i="13"/>
  <c r="F33"/>
  <c r="C13" i="1"/>
  <c r="B11"/>
  <c r="F47" i="13"/>
  <c r="F31"/>
  <c r="G59"/>
  <c r="F19"/>
  <c r="N77" i="1"/>
  <c r="O77" s="1"/>
  <c r="L5" i="3"/>
  <c r="M5" s="1"/>
  <c r="J5"/>
  <c r="K5" s="1"/>
  <c r="L77" i="1"/>
  <c r="M77" s="1"/>
  <c r="D11" i="11"/>
  <c r="C9"/>
  <c r="F5" i="13"/>
  <c r="G61"/>
  <c r="F61"/>
  <c r="F65"/>
  <c r="G64"/>
  <c r="G4" l="1"/>
  <c r="F4"/>
  <c r="G9" i="11" s="1"/>
  <c r="A6" i="13"/>
  <c r="B13" i="1"/>
  <c r="C15"/>
  <c r="A8" i="13" s="1"/>
  <c r="G10" i="11"/>
  <c r="F10" s="1"/>
  <c r="D4" i="13"/>
  <c r="D5"/>
  <c r="C11" i="11"/>
  <c r="D13"/>
  <c r="C17" i="1" l="1"/>
  <c r="B17" s="1"/>
  <c r="B6" i="13"/>
  <c r="C6" s="1"/>
  <c r="D6" s="1"/>
  <c r="B7"/>
  <c r="K5" i="2"/>
  <c r="B15" i="1"/>
  <c r="E10" i="11"/>
  <c r="H4" i="13"/>
  <c r="E4"/>
  <c r="C13" i="11"/>
  <c r="D15"/>
  <c r="F11" i="1" l="1"/>
  <c r="E9" i="11" s="1"/>
  <c r="C19" i="1"/>
  <c r="B19" s="1"/>
  <c r="A10" i="13"/>
  <c r="B8"/>
  <c r="C8" s="1"/>
  <c r="D8" s="1"/>
  <c r="B9"/>
  <c r="C7"/>
  <c r="G7" s="1"/>
  <c r="F7"/>
  <c r="G12" i="11" s="1"/>
  <c r="E12" s="1"/>
  <c r="F6" i="13"/>
  <c r="G11" i="11" s="1"/>
  <c r="K7" i="2"/>
  <c r="G6" i="13"/>
  <c r="D17" i="11"/>
  <c r="C15"/>
  <c r="K3" i="2" l="1"/>
  <c r="A12" i="13"/>
  <c r="C21" i="1"/>
  <c r="B21" s="1"/>
  <c r="B12" i="13"/>
  <c r="C12" s="1"/>
  <c r="G12" s="1"/>
  <c r="B13"/>
  <c r="B10"/>
  <c r="C10" s="1"/>
  <c r="B11"/>
  <c r="F8"/>
  <c r="G13" i="11" s="1"/>
  <c r="C9" i="13"/>
  <c r="G9" s="1"/>
  <c r="F9"/>
  <c r="G14" i="11" s="1"/>
  <c r="D7" i="13"/>
  <c r="F12" i="11"/>
  <c r="G8" i="13"/>
  <c r="K9" i="2"/>
  <c r="F9" i="11"/>
  <c r="H9" s="1"/>
  <c r="I9"/>
  <c r="C17"/>
  <c r="D19"/>
  <c r="K11" i="2"/>
  <c r="C23" i="1" l="1"/>
  <c r="C25" s="1"/>
  <c r="A14" i="13"/>
  <c r="H6"/>
  <c r="E6"/>
  <c r="E11" i="11" s="1"/>
  <c r="I11" s="1"/>
  <c r="D9" i="13"/>
  <c r="F14" i="11"/>
  <c r="E14"/>
  <c r="E13"/>
  <c r="F13" s="1"/>
  <c r="F12" i="13"/>
  <c r="G17" i="11" s="1"/>
  <c r="D12" i="13"/>
  <c r="F13"/>
  <c r="G18" i="11" s="1"/>
  <c r="E18" s="1"/>
  <c r="C13" i="13"/>
  <c r="G13" s="1"/>
  <c r="F10"/>
  <c r="G15" i="11" s="1"/>
  <c r="C11" i="13"/>
  <c r="G11" s="1"/>
  <c r="F11"/>
  <c r="G16" i="11" s="1"/>
  <c r="F16" s="1"/>
  <c r="B15" i="13"/>
  <c r="G10"/>
  <c r="D10"/>
  <c r="C19" i="11"/>
  <c r="D21"/>
  <c r="F11" l="1"/>
  <c r="H11" s="1"/>
  <c r="B23" i="1"/>
  <c r="D17" i="13" s="1"/>
  <c r="A16"/>
  <c r="H8"/>
  <c r="E8"/>
  <c r="D11"/>
  <c r="H10" s="1"/>
  <c r="I13" i="11"/>
  <c r="D13" i="13"/>
  <c r="H12" s="1"/>
  <c r="E16" i="11"/>
  <c r="E15"/>
  <c r="F15" s="1"/>
  <c r="H13"/>
  <c r="C15" i="13"/>
  <c r="G15" s="1"/>
  <c r="F15"/>
  <c r="G20" i="11" s="1"/>
  <c r="F20" s="1"/>
  <c r="E17"/>
  <c r="F17" s="1"/>
  <c r="K13" i="2"/>
  <c r="B14" i="13"/>
  <c r="C14" s="1"/>
  <c r="F16"/>
  <c r="G16"/>
  <c r="F18" i="11"/>
  <c r="A18" i="13"/>
  <c r="C27" i="1"/>
  <c r="B25"/>
  <c r="C21" i="11"/>
  <c r="D23"/>
  <c r="D16" i="13" l="1"/>
  <c r="H16" s="1"/>
  <c r="E10"/>
  <c r="E12"/>
  <c r="H15" i="11"/>
  <c r="G21"/>
  <c r="I15"/>
  <c r="I17"/>
  <c r="H17"/>
  <c r="G18" i="13"/>
  <c r="F18"/>
  <c r="F14"/>
  <c r="G19" i="11" s="1"/>
  <c r="E19" s="1"/>
  <c r="I19" s="1"/>
  <c r="D18" i="13"/>
  <c r="E20" i="11"/>
  <c r="E16" i="13"/>
  <c r="K15" i="2" s="1"/>
  <c r="G22" i="11"/>
  <c r="B27" i="1"/>
  <c r="C29"/>
  <c r="A20" i="13"/>
  <c r="C23" i="11"/>
  <c r="G24" s="1"/>
  <c r="D25"/>
  <c r="D19" i="13"/>
  <c r="B20" l="1"/>
  <c r="C20" s="1"/>
  <c r="B21"/>
  <c r="H18"/>
  <c r="G23" i="11"/>
  <c r="G14" i="13"/>
  <c r="D14"/>
  <c r="D15"/>
  <c r="K19" i="2"/>
  <c r="E21" i="11"/>
  <c r="F21" s="1"/>
  <c r="E22"/>
  <c r="F19"/>
  <c r="H19" s="1"/>
  <c r="F22"/>
  <c r="E18" i="13"/>
  <c r="F24" i="11"/>
  <c r="E24"/>
  <c r="C31" i="1"/>
  <c r="B29"/>
  <c r="A22" i="13"/>
  <c r="D27" i="11"/>
  <c r="C25"/>
  <c r="E14" i="13" l="1"/>
  <c r="H21" i="11"/>
  <c r="F20" i="13"/>
  <c r="G25" i="11" s="1"/>
  <c r="C21" i="13"/>
  <c r="G21" s="1"/>
  <c r="F21"/>
  <c r="G26" i="11" s="1"/>
  <c r="F26" s="1"/>
  <c r="G20" i="13"/>
  <c r="D20"/>
  <c r="H14"/>
  <c r="I21" i="11"/>
  <c r="B31" i="1"/>
  <c r="C33"/>
  <c r="A24" i="13"/>
  <c r="D29" i="11"/>
  <c r="C27"/>
  <c r="E23" l="1"/>
  <c r="F23" s="1"/>
  <c r="H23" s="1"/>
  <c r="K17" i="2"/>
  <c r="D21" i="13"/>
  <c r="H20" s="1"/>
  <c r="B24"/>
  <c r="C24" s="1"/>
  <c r="B25"/>
  <c r="B22"/>
  <c r="C22" s="1"/>
  <c r="B23"/>
  <c r="E26" i="11"/>
  <c r="E25"/>
  <c r="I25" s="1"/>
  <c r="K23" i="2"/>
  <c r="K21"/>
  <c r="B33" i="1"/>
  <c r="C35"/>
  <c r="A26" i="13"/>
  <c r="C29" i="11"/>
  <c r="D31"/>
  <c r="E20" i="13" l="1"/>
  <c r="I23" i="11"/>
  <c r="B26" i="13"/>
  <c r="C26" s="1"/>
  <c r="G26" s="1"/>
  <c r="B27"/>
  <c r="C25"/>
  <c r="G25" s="1"/>
  <c r="F25"/>
  <c r="G30" i="11" s="1"/>
  <c r="E30" s="1"/>
  <c r="F22" i="13"/>
  <c r="G27" i="11" s="1"/>
  <c r="C23" i="13"/>
  <c r="G23" s="1"/>
  <c r="F23"/>
  <c r="G28" i="11" s="1"/>
  <c r="F25"/>
  <c r="H25" s="1"/>
  <c r="F24" i="13"/>
  <c r="G29" i="11" s="1"/>
  <c r="G22" i="13"/>
  <c r="D22"/>
  <c r="A28"/>
  <c r="B35" i="1"/>
  <c r="C37"/>
  <c r="D33" i="11"/>
  <c r="C31"/>
  <c r="K25" i="2"/>
  <c r="F28" i="11" l="1"/>
  <c r="E29"/>
  <c r="I29" s="1"/>
  <c r="E27"/>
  <c r="I27" s="1"/>
  <c r="F30"/>
  <c r="E28"/>
  <c r="D23" i="13"/>
  <c r="H22" s="1"/>
  <c r="D26"/>
  <c r="F26"/>
  <c r="G31" i="11" s="1"/>
  <c r="C27" i="13"/>
  <c r="G27" s="1"/>
  <c r="F27"/>
  <c r="G32" i="11" s="1"/>
  <c r="F32" s="1"/>
  <c r="G24" i="13"/>
  <c r="D24"/>
  <c r="D25"/>
  <c r="D35" i="11"/>
  <c r="C33"/>
  <c r="C39" i="1"/>
  <c r="A30" i="13"/>
  <c r="B37" i="1"/>
  <c r="E24" i="13" l="1"/>
  <c r="E22"/>
  <c r="F29" i="11"/>
  <c r="H29" s="1"/>
  <c r="F27"/>
  <c r="H27" s="1"/>
  <c r="E32"/>
  <c r="E31"/>
  <c r="I31" s="1"/>
  <c r="B28" i="13"/>
  <c r="C28" s="1"/>
  <c r="B29"/>
  <c r="D27"/>
  <c r="H26" s="1"/>
  <c r="H24"/>
  <c r="F30"/>
  <c r="G30"/>
  <c r="D30"/>
  <c r="K27" i="2"/>
  <c r="C41" i="1"/>
  <c r="B39"/>
  <c r="A32" i="13"/>
  <c r="C35" i="11"/>
  <c r="D37"/>
  <c r="E26" i="13" l="1"/>
  <c r="G35" i="11"/>
  <c r="F31"/>
  <c r="H31" s="1"/>
  <c r="F28" i="13"/>
  <c r="G33" i="11" s="1"/>
  <c r="C29" i="13"/>
  <c r="G29" s="1"/>
  <c r="F29"/>
  <c r="G34" i="11" s="1"/>
  <c r="G36"/>
  <c r="E36" s="1"/>
  <c r="D31" i="13"/>
  <c r="E30" s="1"/>
  <c r="K29" i="2" s="1"/>
  <c r="G32" i="13"/>
  <c r="F32"/>
  <c r="G28"/>
  <c r="D28"/>
  <c r="D39" i="11"/>
  <c r="C37"/>
  <c r="B41" i="1"/>
  <c r="A34" i="13"/>
  <c r="C43" i="1"/>
  <c r="G37" i="11" l="1"/>
  <c r="E33"/>
  <c r="F33" s="1"/>
  <c r="E34"/>
  <c r="F34"/>
  <c r="D29" i="13"/>
  <c r="H28" s="1"/>
  <c r="E35" i="11"/>
  <c r="F35" s="1"/>
  <c r="F36"/>
  <c r="B35" i="13"/>
  <c r="D33"/>
  <c r="D32"/>
  <c r="H30"/>
  <c r="G38" i="11"/>
  <c r="F38" s="1"/>
  <c r="D41"/>
  <c r="C39"/>
  <c r="C45" i="1"/>
  <c r="B43"/>
  <c r="A36" i="13"/>
  <c r="H35" i="11" l="1"/>
  <c r="E28" i="13"/>
  <c r="I33" i="11"/>
  <c r="H33"/>
  <c r="C35" i="13"/>
  <c r="G35" s="1"/>
  <c r="F35"/>
  <c r="G40" i="11" s="1"/>
  <c r="I35"/>
  <c r="K33" i="2"/>
  <c r="B34" i="13"/>
  <c r="C34" s="1"/>
  <c r="E32"/>
  <c r="H32"/>
  <c r="E38" i="11"/>
  <c r="D43"/>
  <c r="C41"/>
  <c r="C47" i="1"/>
  <c r="B45"/>
  <c r="A38" i="13"/>
  <c r="E37" i="11" l="1"/>
  <c r="F37" s="1"/>
  <c r="H37" s="1"/>
  <c r="K31" i="2"/>
  <c r="F40" i="11"/>
  <c r="E40"/>
  <c r="B36" i="13"/>
  <c r="C36" s="1"/>
  <c r="B37"/>
  <c r="F34"/>
  <c r="G39" i="11" s="1"/>
  <c r="E39" s="1"/>
  <c r="I39" s="1"/>
  <c r="K35" i="2"/>
  <c r="G34" i="13"/>
  <c r="D35"/>
  <c r="D34"/>
  <c r="B39"/>
  <c r="C43" i="11"/>
  <c r="D45"/>
  <c r="A40" i="13"/>
  <c r="B47" i="1"/>
  <c r="C49"/>
  <c r="I37" i="11" l="1"/>
  <c r="E34" i="13"/>
  <c r="C39"/>
  <c r="G39" s="1"/>
  <c r="F39"/>
  <c r="G44" i="11" s="1"/>
  <c r="F36" i="13"/>
  <c r="G41" i="11" s="1"/>
  <c r="C37" i="13"/>
  <c r="G37" s="1"/>
  <c r="F37"/>
  <c r="G42" i="11" s="1"/>
  <c r="F39"/>
  <c r="H39" s="1"/>
  <c r="K37" i="2"/>
  <c r="B38" i="13"/>
  <c r="C38" s="1"/>
  <c r="G36"/>
  <c r="D36"/>
  <c r="H34"/>
  <c r="C51" i="1"/>
  <c r="B49"/>
  <c r="A42" i="13"/>
  <c r="C45" i="11"/>
  <c r="D47"/>
  <c r="E44" l="1"/>
  <c r="F44"/>
  <c r="E41"/>
  <c r="F41" s="1"/>
  <c r="F42"/>
  <c r="E42"/>
  <c r="D37" i="13"/>
  <c r="H36" s="1"/>
  <c r="B40"/>
  <c r="C40" s="1"/>
  <c r="B41"/>
  <c r="K39" i="2"/>
  <c r="F38" i="13"/>
  <c r="G43" i="11" s="1"/>
  <c r="E43" s="1"/>
  <c r="I43" s="1"/>
  <c r="C53" i="1"/>
  <c r="A44" i="13"/>
  <c r="B51" i="1"/>
  <c r="C47" i="11"/>
  <c r="D49"/>
  <c r="E36" i="13" l="1"/>
  <c r="I41" i="11"/>
  <c r="H41"/>
  <c r="B42" i="13"/>
  <c r="C42" s="1"/>
  <c r="B43"/>
  <c r="F40"/>
  <c r="G45" i="11" s="1"/>
  <c r="C41" i="13"/>
  <c r="G41" s="1"/>
  <c r="F41"/>
  <c r="G46" i="11" s="1"/>
  <c r="F46" s="1"/>
  <c r="F44" i="13"/>
  <c r="G44"/>
  <c r="F43" i="11"/>
  <c r="H43" s="1"/>
  <c r="G38" i="13"/>
  <c r="D38"/>
  <c r="D39"/>
  <c r="G40"/>
  <c r="D40"/>
  <c r="K41" i="2"/>
  <c r="C49" i="11"/>
  <c r="D51"/>
  <c r="D45" i="13"/>
  <c r="C55" i="1"/>
  <c r="B53"/>
  <c r="A46" i="13"/>
  <c r="D44"/>
  <c r="E38" l="1"/>
  <c r="E45" i="11"/>
  <c r="I45" s="1"/>
  <c r="E46"/>
  <c r="D41" i="13"/>
  <c r="H40" s="1"/>
  <c r="F42"/>
  <c r="G47" i="11" s="1"/>
  <c r="C43" i="13"/>
  <c r="G43" s="1"/>
  <c r="F43"/>
  <c r="G48" i="11" s="1"/>
  <c r="G49"/>
  <c r="E44" i="13"/>
  <c r="K43" i="2" s="1"/>
  <c r="H38" i="13"/>
  <c r="G46"/>
  <c r="F46"/>
  <c r="G42"/>
  <c r="D42"/>
  <c r="D47"/>
  <c r="G50" i="11"/>
  <c r="H44" i="13"/>
  <c r="B55" i="1"/>
  <c r="C57"/>
  <c r="A48" i="13"/>
  <c r="C51" i="11"/>
  <c r="D53"/>
  <c r="D46" i="13"/>
  <c r="F45" i="11" l="1"/>
  <c r="H45" s="1"/>
  <c r="E40" i="13"/>
  <c r="E47" i="11"/>
  <c r="F47" s="1"/>
  <c r="G51"/>
  <c r="E48"/>
  <c r="F48"/>
  <c r="D43" i="13"/>
  <c r="H42" s="1"/>
  <c r="B48"/>
  <c r="C48" s="1"/>
  <c r="D48" s="1"/>
  <c r="B49"/>
  <c r="E49" i="11"/>
  <c r="I49" s="1"/>
  <c r="H46" i="13"/>
  <c r="E46"/>
  <c r="K45" i="2" s="1"/>
  <c r="F50" i="11"/>
  <c r="E50"/>
  <c r="G52"/>
  <c r="K47" i="2"/>
  <c r="C59" i="1"/>
  <c r="B57"/>
  <c r="A50" i="13"/>
  <c r="D55" i="11"/>
  <c r="C53"/>
  <c r="E42" i="13" l="1"/>
  <c r="H47" i="11"/>
  <c r="I47"/>
  <c r="B50" i="13"/>
  <c r="C50" s="1"/>
  <c r="D50" s="1"/>
  <c r="B51"/>
  <c r="G48"/>
  <c r="F48"/>
  <c r="C49"/>
  <c r="G49" s="1"/>
  <c r="F49"/>
  <c r="G54" i="11" s="1"/>
  <c r="F54" s="1"/>
  <c r="F49"/>
  <c r="H49" s="1"/>
  <c r="G53"/>
  <c r="E51"/>
  <c r="F51" s="1"/>
  <c r="C61" i="1"/>
  <c r="B59"/>
  <c r="A52" i="13"/>
  <c r="D57" i="11"/>
  <c r="C55"/>
  <c r="K49" i="2"/>
  <c r="F52" i="11"/>
  <c r="E52"/>
  <c r="E53" l="1"/>
  <c r="F53" s="1"/>
  <c r="E54"/>
  <c r="C51" i="13"/>
  <c r="G51" s="1"/>
  <c r="F51"/>
  <c r="G56" i="11" s="1"/>
  <c r="E56" s="1"/>
  <c r="G50" i="13"/>
  <c r="F50"/>
  <c r="G55" i="11" s="1"/>
  <c r="D51" i="13"/>
  <c r="D49"/>
  <c r="I51" i="11"/>
  <c r="D59"/>
  <c r="C57"/>
  <c r="B61" i="1"/>
  <c r="A54" i="13"/>
  <c r="C63" i="1"/>
  <c r="H51" i="11"/>
  <c r="H53" l="1"/>
  <c r="H50" i="13"/>
  <c r="E50"/>
  <c r="H48"/>
  <c r="E48"/>
  <c r="I53" i="11"/>
  <c r="E55"/>
  <c r="F55" s="1"/>
  <c r="B52" i="13"/>
  <c r="C52" s="1"/>
  <c r="B53"/>
  <c r="F56" i="11"/>
  <c r="K51" i="2"/>
  <c r="A56" i="13"/>
  <c r="B63" i="1"/>
  <c r="C65"/>
  <c r="D61" i="11"/>
  <c r="C59"/>
  <c r="H55" l="1"/>
  <c r="I55"/>
  <c r="B56" i="13"/>
  <c r="C56" s="1"/>
  <c r="B57"/>
  <c r="B54"/>
  <c r="C54" s="1"/>
  <c r="B55"/>
  <c r="F52"/>
  <c r="G57" i="11" s="1"/>
  <c r="C53" i="13"/>
  <c r="G53" s="1"/>
  <c r="F53"/>
  <c r="G58" i="11" s="1"/>
  <c r="K55" i="2"/>
  <c r="G52" i="13"/>
  <c r="D53"/>
  <c r="D52"/>
  <c r="K53" i="2"/>
  <c r="A58" i="13"/>
  <c r="C67" i="1"/>
  <c r="B65"/>
  <c r="C61" i="11"/>
  <c r="D63"/>
  <c r="E52" i="13" l="1"/>
  <c r="E57" i="11"/>
  <c r="I57" s="1"/>
  <c r="F58"/>
  <c r="E58"/>
  <c r="C57" i="13"/>
  <c r="G57" s="1"/>
  <c r="F57"/>
  <c r="G62" i="11" s="1"/>
  <c r="C55" i="13"/>
  <c r="G55" s="1"/>
  <c r="F55"/>
  <c r="G60" i="11" s="1"/>
  <c r="H52" i="13"/>
  <c r="F54"/>
  <c r="G59" i="11" s="1"/>
  <c r="F56" i="13"/>
  <c r="G61" i="11" s="1"/>
  <c r="C63"/>
  <c r="D65"/>
  <c r="B67" i="1"/>
  <c r="A60" i="13"/>
  <c r="C69" i="1"/>
  <c r="F57" i="11" l="1"/>
  <c r="H57" s="1"/>
  <c r="E62"/>
  <c r="F62"/>
  <c r="F60"/>
  <c r="E60"/>
  <c r="E61"/>
  <c r="I61" s="1"/>
  <c r="E59"/>
  <c r="I59" s="1"/>
  <c r="G54" i="13"/>
  <c r="D54"/>
  <c r="D55"/>
  <c r="F58"/>
  <c r="G63" i="11" s="1"/>
  <c r="G56" i="13"/>
  <c r="D56"/>
  <c r="D57"/>
  <c r="A62"/>
  <c r="B69" i="1"/>
  <c r="C71"/>
  <c r="B71" s="1"/>
  <c r="D67" i="11"/>
  <c r="C65"/>
  <c r="G66" s="1"/>
  <c r="G64"/>
  <c r="E54" i="13" l="1"/>
  <c r="E56"/>
  <c r="F61" i="11"/>
  <c r="H61" s="1"/>
  <c r="F59"/>
  <c r="H59" s="1"/>
  <c r="F60" i="13"/>
  <c r="G65" i="11" s="1"/>
  <c r="H56" i="13"/>
  <c r="G58"/>
  <c r="D59"/>
  <c r="D58"/>
  <c r="H54"/>
  <c r="F66" i="11"/>
  <c r="E66"/>
  <c r="F64"/>
  <c r="E64"/>
  <c r="D69"/>
  <c r="C67"/>
  <c r="A64" i="13"/>
  <c r="D65"/>
  <c r="K63" i="2"/>
  <c r="D64" i="13"/>
  <c r="E64" l="1"/>
  <c r="F71" i="1" s="1"/>
  <c r="B62" i="13"/>
  <c r="C62" s="1"/>
  <c r="B63"/>
  <c r="K61" i="2"/>
  <c r="H58" i="13"/>
  <c r="E58"/>
  <c r="G60"/>
  <c r="D60"/>
  <c r="D61"/>
  <c r="H64"/>
  <c r="C69" i="11"/>
  <c r="G69" s="1"/>
  <c r="E63" l="1"/>
  <c r="F63" s="1"/>
  <c r="H63" s="1"/>
  <c r="K57" i="2"/>
  <c r="C63" i="13"/>
  <c r="G63" s="1"/>
  <c r="F63"/>
  <c r="G68" i="11" s="1"/>
  <c r="E68" s="1"/>
  <c r="F62" i="13"/>
  <c r="G67" i="11" s="1"/>
  <c r="E60" i="13"/>
  <c r="K59" i="2" s="1"/>
  <c r="G62" i="13"/>
  <c r="D62"/>
  <c r="H60"/>
  <c r="G70" i="11"/>
  <c r="E69" s="1"/>
  <c r="F77" i="1" l="1"/>
  <c r="I63" i="11"/>
  <c r="E67"/>
  <c r="I67" s="1"/>
  <c r="D63" i="13"/>
  <c r="H62" s="1"/>
  <c r="F68" i="11"/>
  <c r="C5" i="3"/>
  <c r="B5" s="1"/>
  <c r="F5" s="1"/>
  <c r="G5" s="1"/>
  <c r="E65" i="11"/>
  <c r="F65" s="1"/>
  <c r="H65" s="1"/>
  <c r="D5" i="3"/>
  <c r="E5" s="1"/>
  <c r="G77" i="1"/>
  <c r="H77" s="1"/>
  <c r="F69" i="11"/>
  <c r="I69"/>
  <c r="F70"/>
  <c r="E70"/>
  <c r="E77" i="1" l="1"/>
  <c r="F19" i="2"/>
  <c r="U72" i="1" s="1"/>
  <c r="E62" i="13"/>
  <c r="F67" i="11"/>
  <c r="H67" s="1"/>
  <c r="I65"/>
  <c r="I75" s="1"/>
  <c r="H69"/>
  <c r="E75" l="1"/>
  <c r="K75"/>
  <c r="G75"/>
</calcChain>
</file>

<file path=xl/sharedStrings.xml><?xml version="1.0" encoding="utf-8"?>
<sst xmlns="http://schemas.openxmlformats.org/spreadsheetml/2006/main" count="598" uniqueCount="219">
  <si>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</si>
  <si>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</si>
  <si>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</si>
  <si>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</si>
  <si>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</si>
  <si>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</si>
  <si>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</si>
  <si>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</si>
  <si>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</si>
  <si>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</si>
  <si>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</si>
  <si>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</si>
  <si>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</si>
  <si>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</si>
  <si>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</si>
  <si>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</si>
  <si>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</si>
  <si>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</si>
  <si>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</si>
  <si>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</si>
  <si>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</si>
  <si>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</si>
  <si>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</si>
  <si>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</si>
  <si>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</si>
  <si>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</si>
  <si>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</si>
  <si>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</si>
  <si>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</si>
  <si>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</si>
  <si>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</si>
  <si>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</si>
  <si>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</si>
  <si>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</si>
  <si>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</si>
  <si>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</si>
  <si>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</si>
  <si>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</si>
  <si>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</si>
  <si>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</si>
  <si>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</si>
  <si>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</si>
  <si>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</si>
  <si>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</si>
  <si>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</si>
  <si>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</si>
  <si>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</si>
  <si>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</si>
  <si>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</si>
  <si>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</si>
  <si>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</si>
  <si>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</si>
  <si>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</si>
  <si>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</si>
  <si>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</si>
  <si>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</si>
  <si>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</si>
  <si>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</si>
  <si>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</si>
  <si>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</si>
  <si>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</si>
  <si>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</si>
  <si>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</si>
  <si>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</si>
  <si>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</si>
  <si>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</si>
  <si>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</si>
  <si>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</si>
  <si>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</si>
  <si>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</si>
  <si>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</si>
  <si>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</si>
  <si>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</si>
  <si>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</si>
  <si>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</si>
  <si>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</si>
  <si>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</si>
  <si>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</si>
  <si>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</si>
  <si>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</si>
  <si>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</si>
  <si>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</si>
  <si>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</si>
  <si>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</si>
  <si>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</si>
  <si>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</si>
  <si>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</si>
  <si>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</si>
  <si>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</si>
  <si>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</si>
  <si>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</si>
  <si>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</si>
  <si>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</si>
  <si>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</si>
  <si>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</si>
  <si>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</si>
  <si>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</si>
  <si>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</si>
  <si>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</si>
  <si>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</si>
  <si>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</si>
  <si>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</si>
  <si>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</si>
  <si>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</si>
  <si>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</si>
  <si>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</si>
  <si>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</si>
  <si>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</si>
  <si>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</si>
  <si>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</si>
  <si>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</si>
  <si>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</si>
  <si>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</si>
  <si>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</si>
  <si>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</si>
  <si>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</si>
  <si>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</si>
  <si>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</si>
  <si>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</si>
  <si>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</si>
  <si>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</si>
  <si>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</si>
  <si>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</si>
  <si>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</si>
  <si>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</si>
  <si>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</si>
  <si>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</si>
  <si>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</si>
  <si>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</si>
  <si>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</si>
  <si>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</si>
  <si>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</si>
  <si>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</si>
  <si>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</si>
  <si>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</si>
  <si>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</si>
  <si>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</si>
  <si>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</si>
  <si>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</si>
  <si>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</si>
  <si>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</si>
  <si>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</si>
  <si>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</si>
  <si>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</si>
  <si>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</si>
  <si>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</si>
  <si>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</si>
  <si>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</si>
  <si>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</si>
  <si>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</si>
  <si>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</si>
  <si>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</si>
  <si>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</si>
  <si>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</si>
  <si>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</si>
  <si>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</si>
  <si>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</si>
  <si>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</si>
  <si>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</si>
  <si>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</si>
  <si>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</si>
  <si>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</si>
  <si>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</si>
  <si>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</si>
  <si>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</si>
  <si>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</si>
  <si>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</si>
  <si>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</si>
  <si>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</si>
  <si>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</si>
  <si>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</si>
  <si>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</si>
  <si>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</si>
  <si>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</si>
  <si>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</si>
  <si>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</si>
  <si>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</si>
  <si>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</si>
  <si>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</si>
  <si>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</si>
  <si>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</si>
  <si>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</si>
  <si>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</si>
  <si>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</si>
  <si>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</si>
  <si>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</si>
  <si>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</si>
  <si>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</si>
  <si>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</si>
  <si>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</si>
  <si>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</si>
  <si>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</si>
  <si>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</si>
  <si>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</si>
  <si>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</si>
  <si>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</si>
  <si>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</si>
  <si>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</si>
  <si>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</si>
  <si>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</si>
  <si>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</si>
  <si>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</si>
  <si>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</si>
  <si>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</si>
  <si>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</si>
  <si>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</si>
  <si>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</si>
  <si>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</si>
  <si>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</si>
  <si>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</si>
  <si>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</si>
  <si>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</si>
  <si>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</si>
  <si>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</si>
  <si>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</si>
  <si>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</si>
  <si>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</si>
  <si>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Sapta sarana Sejahtera (Exim Bank)</t>
  </si>
  <si>
    <t>Bank QNB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</si>
</sst>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9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89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8" customFormat="1" ht="20.100000000000001" customHeight="1">
      <c r="A14" s="43" t="s">
        <v>168</v>
      </c>
    </row>
    <row r="15" spans="1:2" s="88" customFormat="1" ht="20.100000000000001" customHeight="1">
      <c r="A15" s="43"/>
    </row>
    <row r="16" spans="1:2" s="88" customFormat="1" ht="20.100000000000001" customHeight="1">
      <c r="A16" s="90" t="s">
        <v>161</v>
      </c>
    </row>
    <row r="17" spans="1:6" s="88" customFormat="1" ht="20.100000000000001" customHeight="1">
      <c r="A17" s="87" t="s">
        <v>162</v>
      </c>
    </row>
    <row r="18" spans="1:6" s="88" customFormat="1" ht="20.100000000000001" customHeight="1">
      <c r="A18" s="87" t="s">
        <v>163</v>
      </c>
    </row>
    <row r="19" spans="1:6" s="88" customFormat="1" ht="20.100000000000001" customHeight="1">
      <c r="A19" s="87" t="s">
        <v>164</v>
      </c>
    </row>
    <row r="20" spans="1:6" ht="20.100000000000001" customHeight="1">
      <c r="A20" s="87"/>
    </row>
    <row r="21" spans="1:6" ht="20.100000000000001" customHeight="1">
      <c r="A21" s="90" t="s">
        <v>169</v>
      </c>
    </row>
    <row r="22" spans="1:6" ht="20.100000000000001" customHeight="1">
      <c r="A22" s="87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1" t="s">
        <v>170</v>
      </c>
    </row>
    <row r="64" spans="1:6" ht="20.100000000000001" customHeight="1">
      <c r="A64" s="91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2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zoomScale="84" zoomScaleNormal="85" zoomScalePageLayoutView="84" workbookViewId="0">
      <selection activeCell="J71" sqref="J71:M71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0"/>
    <col min="22" max="16384" width="9.140625" style="10"/>
  </cols>
  <sheetData>
    <row r="1" spans="1:21">
      <c r="H1" s="120"/>
    </row>
    <row r="2" spans="1:21" ht="15" customHeight="1">
      <c r="B2" s="186" t="s">
        <v>0</v>
      </c>
      <c r="C2" s="186"/>
      <c r="D2" s="187"/>
      <c r="E2" s="187"/>
      <c r="F2" s="187"/>
      <c r="G2" s="187"/>
      <c r="H2" s="187"/>
      <c r="I2" s="187"/>
      <c r="J2" s="187"/>
      <c r="M2" s="11"/>
      <c r="N2" s="11"/>
      <c r="O2" s="11"/>
      <c r="R2" s="12"/>
    </row>
    <row r="3" spans="1:21" ht="15" customHeight="1">
      <c r="B3" s="186" t="s">
        <v>1</v>
      </c>
      <c r="C3" s="186"/>
      <c r="D3" s="187"/>
      <c r="E3" s="187"/>
      <c r="F3" s="187"/>
      <c r="G3" s="187"/>
      <c r="H3" s="187"/>
      <c r="I3" s="187"/>
      <c r="J3" s="187"/>
      <c r="L3" s="13"/>
      <c r="R3" s="12"/>
    </row>
    <row r="4" spans="1:21" ht="15" customHeight="1">
      <c r="B4" s="186" t="s">
        <v>2</v>
      </c>
      <c r="C4" s="186"/>
      <c r="D4" s="187"/>
      <c r="E4" s="187"/>
      <c r="F4" s="187"/>
      <c r="G4" s="187"/>
      <c r="H4" s="187"/>
      <c r="I4" s="187"/>
      <c r="J4" s="187"/>
      <c r="K4" s="14"/>
      <c r="L4" s="14"/>
      <c r="M4" s="14"/>
      <c r="R4" s="12"/>
      <c r="U4" s="70" t="s">
        <v>183</v>
      </c>
    </row>
    <row r="5" spans="1:21" ht="15" customHeight="1">
      <c r="B5" s="197" t="s">
        <v>182</v>
      </c>
      <c r="C5" s="198"/>
      <c r="D5" s="189"/>
      <c r="E5" s="190"/>
      <c r="F5" s="190"/>
      <c r="G5" s="190"/>
      <c r="H5" s="190"/>
      <c r="I5" s="190"/>
      <c r="J5" s="191"/>
      <c r="K5" s="14"/>
      <c r="L5" s="14"/>
      <c r="M5" s="14"/>
      <c r="R5" s="12"/>
      <c r="U5" s="70" t="s">
        <v>184</v>
      </c>
    </row>
    <row r="6" spans="1:21" ht="15" customHeight="1">
      <c r="B6" s="186" t="s">
        <v>65</v>
      </c>
      <c r="C6" s="186"/>
      <c r="D6" s="189"/>
      <c r="E6" s="190"/>
      <c r="F6" s="190"/>
      <c r="G6" s="190"/>
      <c r="H6" s="190"/>
      <c r="I6" s="190"/>
      <c r="J6" s="191"/>
      <c r="L6" s="11"/>
      <c r="M6" s="11"/>
      <c r="R6" s="12"/>
      <c r="U6" s="70" t="s">
        <v>185</v>
      </c>
    </row>
    <row r="7" spans="1:21" ht="15" customHeight="1">
      <c r="B7" s="186" t="s">
        <v>3</v>
      </c>
      <c r="C7" s="186"/>
      <c r="D7" s="188">
        <v>44378</v>
      </c>
      <c r="E7" s="188"/>
      <c r="F7" s="188"/>
      <c r="G7" s="188"/>
      <c r="H7" s="188"/>
      <c r="I7" s="188"/>
      <c r="J7" s="188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38"/>
      <c r="L8" s="138"/>
      <c r="M8" s="138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39"/>
      <c r="L9" s="139"/>
      <c r="M9" s="139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94" t="s">
        <v>10</v>
      </c>
      <c r="K10" s="194"/>
      <c r="L10" s="194"/>
      <c r="M10" s="194"/>
      <c r="N10" s="194" t="s">
        <v>15</v>
      </c>
      <c r="O10" s="194"/>
      <c r="P10" s="194"/>
      <c r="Q10" s="194"/>
      <c r="R10" s="194"/>
      <c r="S10" s="69"/>
      <c r="U10" s="115"/>
    </row>
    <row r="11" spans="1:21" s="66" customFormat="1" ht="18" customHeight="1">
      <c r="A11" s="67"/>
      <c r="B11" s="162" t="str">
        <f>CHOOSE(WEEKDAY(C11),"Sunday","Monday","Tuesday","Wednesday","Thursday","Friday","Saturday")</f>
        <v>Thursday</v>
      </c>
      <c r="C11" s="192">
        <f>D7</f>
        <v>44378</v>
      </c>
      <c r="D11" s="39"/>
      <c r="E11" s="39"/>
      <c r="F11" s="13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66" t="s">
        <v>209</v>
      </c>
      <c r="H11" s="169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3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9"/>
      <c r="K11" s="130"/>
      <c r="L11" s="130"/>
      <c r="M11" s="131"/>
      <c r="N11" s="135"/>
      <c r="O11" s="135"/>
      <c r="P11" s="135"/>
      <c r="Q11" s="135"/>
      <c r="R11" s="135"/>
      <c r="S11" s="99"/>
      <c r="T11" s="195"/>
      <c r="U11" s="115"/>
    </row>
    <row r="12" spans="1:21" s="66" customFormat="1" ht="18" customHeight="1">
      <c r="A12" s="67"/>
      <c r="B12" s="163"/>
      <c r="C12" s="193"/>
      <c r="D12" s="39"/>
      <c r="E12" s="39"/>
      <c r="F12" s="137"/>
      <c r="G12" s="167"/>
      <c r="H12" s="169"/>
      <c r="I12" s="137"/>
      <c r="J12" s="129"/>
      <c r="K12" s="130"/>
      <c r="L12" s="130"/>
      <c r="M12" s="131"/>
      <c r="N12" s="135"/>
      <c r="O12" s="135"/>
      <c r="P12" s="135"/>
      <c r="Q12" s="135"/>
      <c r="R12" s="135"/>
      <c r="S12" s="75"/>
      <c r="T12" s="195"/>
      <c r="U12" s="115"/>
    </row>
    <row r="13" spans="1:21" s="66" customFormat="1" ht="18" customHeight="1">
      <c r="B13" s="162" t="str">
        <f t="shared" ref="B13:B69" si="2">CHOOSE(WEEKDAY(C13),"Sunday","Monday","Tuesday","Wednesday","Thursday","Friday","Saturday")</f>
        <v>Friday</v>
      </c>
      <c r="C13" s="168">
        <f>C11+1</f>
        <v>44379</v>
      </c>
      <c r="D13" s="39"/>
      <c r="E13" s="39"/>
      <c r="F13" s="136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66" t="s">
        <v>209</v>
      </c>
      <c r="H13" s="169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36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9"/>
      <c r="K13" s="130"/>
      <c r="L13" s="130"/>
      <c r="M13" s="131"/>
      <c r="N13" s="135"/>
      <c r="O13" s="135"/>
      <c r="P13" s="135"/>
      <c r="Q13" s="135"/>
      <c r="R13" s="135"/>
      <c r="S13" s="75"/>
      <c r="T13" s="76"/>
      <c r="U13" s="115"/>
    </row>
    <row r="14" spans="1:21" s="66" customFormat="1" ht="18" customHeight="1">
      <c r="B14" s="163"/>
      <c r="C14" s="168"/>
      <c r="D14" s="39"/>
      <c r="E14" s="39"/>
      <c r="F14" s="137"/>
      <c r="G14" s="167"/>
      <c r="H14" s="169"/>
      <c r="I14" s="137"/>
      <c r="J14" s="129"/>
      <c r="K14" s="130"/>
      <c r="L14" s="130"/>
      <c r="M14" s="131"/>
      <c r="N14" s="135"/>
      <c r="O14" s="135"/>
      <c r="P14" s="135"/>
      <c r="Q14" s="135"/>
      <c r="R14" s="135"/>
      <c r="S14" s="75"/>
      <c r="T14" s="76"/>
      <c r="U14" s="115"/>
    </row>
    <row r="15" spans="1:21" s="66" customFormat="1" ht="18" customHeight="1">
      <c r="B15" s="170" t="str">
        <f t="shared" si="2"/>
        <v>Saturday</v>
      </c>
      <c r="C15" s="172">
        <f t="shared" ref="C15" si="5">C13+1</f>
        <v>44380</v>
      </c>
      <c r="D15" s="118"/>
      <c r="E15" s="118"/>
      <c r="F15" s="164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73" t="s">
        <v>209</v>
      </c>
      <c r="H15" s="175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64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6"/>
      <c r="K15" s="127"/>
      <c r="L15" s="127"/>
      <c r="M15" s="128"/>
      <c r="N15" s="132"/>
      <c r="O15" s="133"/>
      <c r="P15" s="133"/>
      <c r="Q15" s="133"/>
      <c r="R15" s="133"/>
      <c r="S15" s="74"/>
      <c r="T15" s="76"/>
      <c r="U15" s="115"/>
    </row>
    <row r="16" spans="1:21" s="66" customFormat="1" ht="18" customHeight="1">
      <c r="B16" s="171"/>
      <c r="C16" s="172"/>
      <c r="D16" s="118"/>
      <c r="E16" s="118"/>
      <c r="F16" s="165"/>
      <c r="G16" s="174"/>
      <c r="H16" s="175"/>
      <c r="I16" s="165"/>
      <c r="J16" s="126"/>
      <c r="K16" s="127"/>
      <c r="L16" s="127"/>
      <c r="M16" s="128"/>
      <c r="N16" s="133"/>
      <c r="O16" s="133"/>
      <c r="P16" s="133"/>
      <c r="Q16" s="133"/>
      <c r="R16" s="133"/>
      <c r="S16" s="74"/>
      <c r="U16" s="115"/>
    </row>
    <row r="17" spans="2:21" s="66" customFormat="1" ht="18" customHeight="1">
      <c r="B17" s="170" t="str">
        <f t="shared" si="2"/>
        <v>Sunday</v>
      </c>
      <c r="C17" s="172">
        <f t="shared" ref="C17" si="8">C15+1</f>
        <v>44381</v>
      </c>
      <c r="D17" s="118"/>
      <c r="E17" s="118"/>
      <c r="F17" s="164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Bank)",,$D$2="Bank QNB"),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73" t="s">
        <v>209</v>
      </c>
      <c r="H17" s="175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64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6"/>
      <c r="K17" s="127"/>
      <c r="L17" s="127"/>
      <c r="M17" s="128"/>
      <c r="N17" s="132"/>
      <c r="O17" s="133"/>
      <c r="P17" s="133"/>
      <c r="Q17" s="133"/>
      <c r="R17" s="133"/>
      <c r="S17" s="74"/>
      <c r="T17" s="69"/>
      <c r="U17" s="117"/>
    </row>
    <row r="18" spans="2:21" s="66" customFormat="1" ht="18" customHeight="1">
      <c r="B18" s="171"/>
      <c r="C18" s="172"/>
      <c r="D18" s="118"/>
      <c r="E18" s="118"/>
      <c r="F18" s="165"/>
      <c r="G18" s="174"/>
      <c r="H18" s="175"/>
      <c r="I18" s="165"/>
      <c r="J18" s="126"/>
      <c r="K18" s="127"/>
      <c r="L18" s="127"/>
      <c r="M18" s="128"/>
      <c r="N18" s="132"/>
      <c r="O18" s="133"/>
      <c r="P18" s="133"/>
      <c r="Q18" s="133"/>
      <c r="R18" s="133"/>
      <c r="S18" s="74"/>
      <c r="T18" s="69"/>
      <c r="U18" s="117"/>
    </row>
    <row r="19" spans="2:21" s="67" customFormat="1" ht="18" customHeight="1">
      <c r="B19" s="162" t="str">
        <f t="shared" si="2"/>
        <v>Monday</v>
      </c>
      <c r="C19" s="168">
        <f t="shared" ref="C19" si="11">C17+1</f>
        <v>44382</v>
      </c>
      <c r="D19" s="39"/>
      <c r="E19" s="39"/>
      <c r="F19" s="136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66" t="s">
        <v>209</v>
      </c>
      <c r="H19" s="169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6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9"/>
      <c r="K19" s="130"/>
      <c r="L19" s="130"/>
      <c r="M19" s="131"/>
      <c r="N19" s="134"/>
      <c r="O19" s="135"/>
      <c r="P19" s="135"/>
      <c r="Q19" s="135"/>
      <c r="R19" s="135"/>
      <c r="S19" s="74"/>
      <c r="U19" s="117"/>
    </row>
    <row r="20" spans="2:21" s="67" customFormat="1" ht="18" customHeight="1">
      <c r="B20" s="163"/>
      <c r="C20" s="168"/>
      <c r="D20" s="39"/>
      <c r="E20" s="39"/>
      <c r="F20" s="137"/>
      <c r="G20" s="167"/>
      <c r="H20" s="169"/>
      <c r="I20" s="137"/>
      <c r="J20" s="129"/>
      <c r="K20" s="130"/>
      <c r="L20" s="130"/>
      <c r="M20" s="131"/>
      <c r="N20" s="134"/>
      <c r="O20" s="135"/>
      <c r="P20" s="135"/>
      <c r="Q20" s="135"/>
      <c r="R20" s="135"/>
      <c r="S20" s="74"/>
      <c r="U20" s="116"/>
    </row>
    <row r="21" spans="2:21" s="67" customFormat="1" ht="18" customHeight="1">
      <c r="B21" s="162" t="str">
        <f t="shared" si="2"/>
        <v>Tuesday</v>
      </c>
      <c r="C21" s="168">
        <f t="shared" ref="C21" si="14">C19+1</f>
        <v>44383</v>
      </c>
      <c r="D21" s="39"/>
      <c r="E21" s="39"/>
      <c r="F21" s="13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66" t="s">
        <v>209</v>
      </c>
      <c r="H21" s="169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6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9"/>
      <c r="K21" s="130"/>
      <c r="L21" s="130"/>
      <c r="M21" s="131"/>
      <c r="N21" s="134"/>
      <c r="O21" s="135"/>
      <c r="P21" s="135"/>
      <c r="Q21" s="135"/>
      <c r="R21" s="135"/>
      <c r="U21" s="116"/>
    </row>
    <row r="22" spans="2:21" s="67" customFormat="1" ht="18" customHeight="1">
      <c r="B22" s="163"/>
      <c r="C22" s="168"/>
      <c r="D22" s="39"/>
      <c r="E22" s="39"/>
      <c r="F22" s="137"/>
      <c r="G22" s="167"/>
      <c r="H22" s="169"/>
      <c r="I22" s="137"/>
      <c r="J22" s="129"/>
      <c r="K22" s="130"/>
      <c r="L22" s="130"/>
      <c r="M22" s="131"/>
      <c r="N22" s="135"/>
      <c r="O22" s="135"/>
      <c r="P22" s="135"/>
      <c r="Q22" s="135"/>
      <c r="R22" s="135"/>
      <c r="U22" s="116"/>
    </row>
    <row r="23" spans="2:21" s="67" customFormat="1" ht="18" customHeight="1">
      <c r="B23" s="162" t="str">
        <f t="shared" si="2"/>
        <v>Wednesday</v>
      </c>
      <c r="C23" s="168">
        <f t="shared" ref="C23" si="17">C21+1</f>
        <v>44384</v>
      </c>
      <c r="D23" s="39"/>
      <c r="E23" s="39"/>
      <c r="F23" s="136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66" t="s">
        <v>209</v>
      </c>
      <c r="H23" s="169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6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9"/>
      <c r="K23" s="130"/>
      <c r="L23" s="130"/>
      <c r="M23" s="131"/>
      <c r="N23" s="134"/>
      <c r="O23" s="135"/>
      <c r="P23" s="135"/>
      <c r="Q23" s="135"/>
      <c r="R23" s="135"/>
      <c r="U23" s="116"/>
    </row>
    <row r="24" spans="2:21" s="67" customFormat="1" ht="18" customHeight="1">
      <c r="B24" s="163"/>
      <c r="C24" s="168"/>
      <c r="D24" s="39"/>
      <c r="E24" s="39"/>
      <c r="F24" s="137"/>
      <c r="G24" s="167"/>
      <c r="H24" s="169"/>
      <c r="I24" s="137"/>
      <c r="J24" s="129"/>
      <c r="K24" s="130"/>
      <c r="L24" s="130"/>
      <c r="M24" s="131"/>
      <c r="N24" s="135"/>
      <c r="O24" s="135"/>
      <c r="P24" s="135"/>
      <c r="Q24" s="135"/>
      <c r="R24" s="135"/>
      <c r="U24" s="116"/>
    </row>
    <row r="25" spans="2:21" s="67" customFormat="1" ht="18" customHeight="1">
      <c r="B25" s="162" t="str">
        <f t="shared" si="2"/>
        <v>Thursday</v>
      </c>
      <c r="C25" s="168">
        <f t="shared" ref="C25" si="20">C23+1</f>
        <v>44385</v>
      </c>
      <c r="D25" s="39"/>
      <c r="E25" s="39"/>
      <c r="F25" s="136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66" t="s">
        <v>209</v>
      </c>
      <c r="H25" s="169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36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9"/>
      <c r="K25" s="130"/>
      <c r="L25" s="130"/>
      <c r="M25" s="131"/>
      <c r="N25" s="135"/>
      <c r="O25" s="135"/>
      <c r="P25" s="135"/>
      <c r="Q25" s="135"/>
      <c r="R25" s="135"/>
      <c r="U25" s="116"/>
    </row>
    <row r="26" spans="2:21" s="67" customFormat="1" ht="18" customHeight="1">
      <c r="B26" s="163"/>
      <c r="C26" s="168"/>
      <c r="D26" s="39"/>
      <c r="E26" s="39"/>
      <c r="F26" s="137"/>
      <c r="G26" s="167"/>
      <c r="H26" s="169"/>
      <c r="I26" s="137"/>
      <c r="J26" s="129"/>
      <c r="K26" s="130"/>
      <c r="L26" s="130"/>
      <c r="M26" s="131"/>
      <c r="N26" s="135"/>
      <c r="O26" s="135"/>
      <c r="P26" s="135"/>
      <c r="Q26" s="135"/>
      <c r="R26" s="135"/>
      <c r="U26" s="116"/>
    </row>
    <row r="27" spans="2:21" s="67" customFormat="1" ht="18" customHeight="1">
      <c r="B27" s="162" t="str">
        <f t="shared" si="2"/>
        <v>Friday</v>
      </c>
      <c r="C27" s="168">
        <f t="shared" ref="C27" si="23">C25+1</f>
        <v>44386</v>
      </c>
      <c r="D27" s="39"/>
      <c r="E27" s="39"/>
      <c r="F27" s="136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66" t="s">
        <v>209</v>
      </c>
      <c r="H27" s="169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36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9"/>
      <c r="K27" s="130"/>
      <c r="L27" s="130"/>
      <c r="M27" s="131"/>
      <c r="N27" s="135"/>
      <c r="O27" s="135"/>
      <c r="P27" s="135"/>
      <c r="Q27" s="135"/>
      <c r="R27" s="135"/>
      <c r="U27" s="116"/>
    </row>
    <row r="28" spans="2:21" s="67" customFormat="1" ht="18" customHeight="1">
      <c r="B28" s="163"/>
      <c r="C28" s="168"/>
      <c r="D28" s="39"/>
      <c r="E28" s="39"/>
      <c r="F28" s="137"/>
      <c r="G28" s="167"/>
      <c r="H28" s="169"/>
      <c r="I28" s="137"/>
      <c r="J28" s="129"/>
      <c r="K28" s="130"/>
      <c r="L28" s="130"/>
      <c r="M28" s="131"/>
      <c r="N28" s="135"/>
      <c r="O28" s="135"/>
      <c r="P28" s="135"/>
      <c r="Q28" s="135"/>
      <c r="R28" s="135"/>
      <c r="U28" s="116"/>
    </row>
    <row r="29" spans="2:21" s="67" customFormat="1" ht="18" customHeight="1">
      <c r="B29" s="170" t="str">
        <f t="shared" si="2"/>
        <v>Saturday</v>
      </c>
      <c r="C29" s="172">
        <f t="shared" ref="C29" si="26">C27+1</f>
        <v>44387</v>
      </c>
      <c r="D29" s="118"/>
      <c r="E29" s="118"/>
      <c r="F29" s="164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73" t="s">
        <v>209</v>
      </c>
      <c r="H29" s="175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64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6"/>
      <c r="K29" s="127"/>
      <c r="L29" s="127"/>
      <c r="M29" s="128"/>
      <c r="N29" s="132"/>
      <c r="O29" s="133"/>
      <c r="P29" s="133"/>
      <c r="Q29" s="133"/>
      <c r="R29" s="133"/>
      <c r="U29" s="116"/>
    </row>
    <row r="30" spans="2:21" s="67" customFormat="1" ht="18" customHeight="1">
      <c r="B30" s="171"/>
      <c r="C30" s="172"/>
      <c r="D30" s="118"/>
      <c r="E30" s="118"/>
      <c r="F30" s="165"/>
      <c r="G30" s="174"/>
      <c r="H30" s="175"/>
      <c r="I30" s="165"/>
      <c r="J30" s="126"/>
      <c r="K30" s="127"/>
      <c r="L30" s="127"/>
      <c r="M30" s="128"/>
      <c r="N30" s="133"/>
      <c r="O30" s="133"/>
      <c r="P30" s="133"/>
      <c r="Q30" s="133"/>
      <c r="R30" s="133"/>
      <c r="U30" s="116"/>
    </row>
    <row r="31" spans="2:21" s="67" customFormat="1" ht="18" customHeight="1">
      <c r="B31" s="170" t="str">
        <f t="shared" si="2"/>
        <v>Sunday</v>
      </c>
      <c r="C31" s="172">
        <f t="shared" ref="C31" si="29">C29+1</f>
        <v>44388</v>
      </c>
      <c r="D31" s="118"/>
      <c r="E31" s="118"/>
      <c r="F31" s="164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73" t="s">
        <v>209</v>
      </c>
      <c r="H31" s="175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64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6"/>
      <c r="K31" s="127"/>
      <c r="L31" s="127"/>
      <c r="M31" s="128"/>
      <c r="N31" s="132"/>
      <c r="O31" s="133"/>
      <c r="P31" s="133"/>
      <c r="Q31" s="133"/>
      <c r="R31" s="133"/>
      <c r="U31" s="116"/>
    </row>
    <row r="32" spans="2:21" s="67" customFormat="1" ht="18" customHeight="1">
      <c r="B32" s="171"/>
      <c r="C32" s="172"/>
      <c r="D32" s="118"/>
      <c r="E32" s="118"/>
      <c r="F32" s="165"/>
      <c r="G32" s="174"/>
      <c r="H32" s="175"/>
      <c r="I32" s="165"/>
      <c r="J32" s="126"/>
      <c r="K32" s="127"/>
      <c r="L32" s="127"/>
      <c r="M32" s="128"/>
      <c r="N32" s="132"/>
      <c r="O32" s="133"/>
      <c r="P32" s="133"/>
      <c r="Q32" s="133"/>
      <c r="R32" s="133"/>
      <c r="U32" s="116"/>
    </row>
    <row r="33" spans="2:21" s="67" customFormat="1" ht="18" customHeight="1">
      <c r="B33" s="162" t="str">
        <f t="shared" si="2"/>
        <v>Monday</v>
      </c>
      <c r="C33" s="168">
        <f t="shared" ref="C33" si="32">C31+1</f>
        <v>44389</v>
      </c>
      <c r="D33" s="39"/>
      <c r="E33" s="39"/>
      <c r="F33" s="13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66" t="s">
        <v>209</v>
      </c>
      <c r="H33" s="169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6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9"/>
      <c r="K33" s="130"/>
      <c r="L33" s="130"/>
      <c r="M33" s="131"/>
      <c r="N33" s="134"/>
      <c r="O33" s="135"/>
      <c r="P33" s="135"/>
      <c r="Q33" s="135"/>
      <c r="R33" s="135"/>
      <c r="U33" s="116"/>
    </row>
    <row r="34" spans="2:21" s="67" customFormat="1" ht="18" customHeight="1">
      <c r="B34" s="163"/>
      <c r="C34" s="168"/>
      <c r="D34" s="39"/>
      <c r="E34" s="39"/>
      <c r="F34" s="137"/>
      <c r="G34" s="167"/>
      <c r="H34" s="169"/>
      <c r="I34" s="137"/>
      <c r="J34" s="129"/>
      <c r="K34" s="130"/>
      <c r="L34" s="130"/>
      <c r="M34" s="131"/>
      <c r="N34" s="134"/>
      <c r="O34" s="135"/>
      <c r="P34" s="135"/>
      <c r="Q34" s="135"/>
      <c r="R34" s="135"/>
      <c r="U34" s="116"/>
    </row>
    <row r="35" spans="2:21" s="67" customFormat="1" ht="18" customHeight="1">
      <c r="B35" s="162" t="str">
        <f t="shared" si="2"/>
        <v>Tuesday</v>
      </c>
      <c r="C35" s="168">
        <f t="shared" ref="C35" si="35">C33+1</f>
        <v>44390</v>
      </c>
      <c r="D35" s="39"/>
      <c r="E35" s="39"/>
      <c r="F35" s="13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66" t="s">
        <v>209</v>
      </c>
      <c r="H35" s="169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9"/>
      <c r="K35" s="130"/>
      <c r="L35" s="130"/>
      <c r="M35" s="131"/>
      <c r="N35" s="134"/>
      <c r="O35" s="135"/>
      <c r="P35" s="135"/>
      <c r="Q35" s="135"/>
      <c r="R35" s="135"/>
      <c r="S35" s="86"/>
      <c r="T35" s="86"/>
      <c r="U35" s="116"/>
    </row>
    <row r="36" spans="2:21" s="67" customFormat="1" ht="18" customHeight="1">
      <c r="B36" s="163"/>
      <c r="C36" s="168"/>
      <c r="D36" s="39"/>
      <c r="E36" s="39"/>
      <c r="F36" s="137"/>
      <c r="G36" s="167"/>
      <c r="H36" s="169"/>
      <c r="I36" s="137"/>
      <c r="J36" s="129"/>
      <c r="K36" s="130"/>
      <c r="L36" s="130"/>
      <c r="M36" s="131"/>
      <c r="N36" s="135"/>
      <c r="O36" s="135"/>
      <c r="P36" s="135"/>
      <c r="Q36" s="135"/>
      <c r="R36" s="135"/>
      <c r="S36" s="86"/>
      <c r="T36" s="86"/>
      <c r="U36" s="116"/>
    </row>
    <row r="37" spans="2:21" s="67" customFormat="1" ht="18" customHeight="1">
      <c r="B37" s="162" t="str">
        <f t="shared" si="2"/>
        <v>Wednesday</v>
      </c>
      <c r="C37" s="168">
        <f t="shared" ref="C37" si="36">C35+1</f>
        <v>44391</v>
      </c>
      <c r="D37" s="39"/>
      <c r="E37" s="39"/>
      <c r="F37" s="136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66" t="s">
        <v>209</v>
      </c>
      <c r="H37" s="169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6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9"/>
      <c r="K37" s="130"/>
      <c r="L37" s="130"/>
      <c r="M37" s="131"/>
      <c r="N37" s="135"/>
      <c r="O37" s="135"/>
      <c r="P37" s="135"/>
      <c r="Q37" s="135"/>
      <c r="R37" s="135"/>
      <c r="S37" s="86"/>
      <c r="T37" s="86"/>
      <c r="U37" s="116"/>
    </row>
    <row r="38" spans="2:21" s="67" customFormat="1" ht="18" customHeight="1">
      <c r="B38" s="163"/>
      <c r="C38" s="168"/>
      <c r="D38" s="39"/>
      <c r="E38" s="39"/>
      <c r="F38" s="137"/>
      <c r="G38" s="167"/>
      <c r="H38" s="169"/>
      <c r="I38" s="137"/>
      <c r="J38" s="129"/>
      <c r="K38" s="130"/>
      <c r="L38" s="130"/>
      <c r="M38" s="131"/>
      <c r="N38" s="135"/>
      <c r="O38" s="135"/>
      <c r="P38" s="135"/>
      <c r="Q38" s="135"/>
      <c r="R38" s="135"/>
      <c r="S38" s="86"/>
      <c r="T38" s="86"/>
      <c r="U38" s="116"/>
    </row>
    <row r="39" spans="2:21" s="67" customFormat="1" ht="18" customHeight="1">
      <c r="B39" s="162" t="str">
        <f t="shared" si="2"/>
        <v>Thursday</v>
      </c>
      <c r="C39" s="168">
        <f t="shared" ref="C39" si="39">C37+1</f>
        <v>44392</v>
      </c>
      <c r="D39" s="39"/>
      <c r="E39" s="39"/>
      <c r="F39" s="136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66" t="s">
        <v>209</v>
      </c>
      <c r="H39" s="169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36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9"/>
      <c r="K39" s="130"/>
      <c r="L39" s="130"/>
      <c r="M39" s="131"/>
      <c r="N39" s="135"/>
      <c r="O39" s="135"/>
      <c r="P39" s="135"/>
      <c r="Q39" s="135"/>
      <c r="R39" s="135"/>
      <c r="U39" s="116"/>
    </row>
    <row r="40" spans="2:21" s="67" customFormat="1" ht="18" customHeight="1">
      <c r="B40" s="163"/>
      <c r="C40" s="168"/>
      <c r="D40" s="39"/>
      <c r="E40" s="39"/>
      <c r="F40" s="137"/>
      <c r="G40" s="167"/>
      <c r="H40" s="169"/>
      <c r="I40" s="137"/>
      <c r="J40" s="129"/>
      <c r="K40" s="130"/>
      <c r="L40" s="130"/>
      <c r="M40" s="131"/>
      <c r="N40" s="135"/>
      <c r="O40" s="135"/>
      <c r="P40" s="135"/>
      <c r="Q40" s="135"/>
      <c r="R40" s="135"/>
      <c r="U40" s="116"/>
    </row>
    <row r="41" spans="2:21" s="67" customFormat="1" ht="18" customHeight="1">
      <c r="B41" s="162" t="str">
        <f t="shared" si="2"/>
        <v>Friday</v>
      </c>
      <c r="C41" s="168">
        <f t="shared" ref="C41" si="42">C39+1</f>
        <v>44393</v>
      </c>
      <c r="D41" s="39"/>
      <c r="E41" s="39"/>
      <c r="F41" s="136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66" t="s">
        <v>209</v>
      </c>
      <c r="H41" s="169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36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9"/>
      <c r="K41" s="130"/>
      <c r="L41" s="130"/>
      <c r="M41" s="131"/>
      <c r="N41" s="135"/>
      <c r="O41" s="135"/>
      <c r="P41" s="135"/>
      <c r="Q41" s="135"/>
      <c r="R41" s="135"/>
      <c r="U41" s="116"/>
    </row>
    <row r="42" spans="2:21" s="67" customFormat="1" ht="18" customHeight="1">
      <c r="B42" s="163"/>
      <c r="C42" s="168"/>
      <c r="D42" s="39"/>
      <c r="E42" s="39"/>
      <c r="F42" s="137"/>
      <c r="G42" s="167"/>
      <c r="H42" s="169"/>
      <c r="I42" s="137"/>
      <c r="J42" s="129"/>
      <c r="K42" s="130"/>
      <c r="L42" s="130"/>
      <c r="M42" s="131"/>
      <c r="N42" s="135"/>
      <c r="O42" s="135"/>
      <c r="P42" s="135"/>
      <c r="Q42" s="135"/>
      <c r="R42" s="135"/>
      <c r="U42" s="116"/>
    </row>
    <row r="43" spans="2:21" s="67" customFormat="1" ht="18" customHeight="1">
      <c r="B43" s="170" t="str">
        <f t="shared" si="2"/>
        <v>Saturday</v>
      </c>
      <c r="C43" s="172">
        <f t="shared" ref="C43" si="45">C41+1</f>
        <v>44394</v>
      </c>
      <c r="D43" s="118"/>
      <c r="E43" s="118"/>
      <c r="F43" s="164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73" t="s">
        <v>209</v>
      </c>
      <c r="H43" s="175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64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6"/>
      <c r="K43" s="127"/>
      <c r="L43" s="127"/>
      <c r="M43" s="128"/>
      <c r="N43" s="132"/>
      <c r="O43" s="133"/>
      <c r="P43" s="133"/>
      <c r="Q43" s="133"/>
      <c r="R43" s="133"/>
      <c r="U43" s="116"/>
    </row>
    <row r="44" spans="2:21" s="67" customFormat="1" ht="18" customHeight="1">
      <c r="B44" s="171"/>
      <c r="C44" s="172"/>
      <c r="D44" s="118"/>
      <c r="E44" s="118"/>
      <c r="F44" s="165"/>
      <c r="G44" s="174"/>
      <c r="H44" s="175"/>
      <c r="I44" s="165"/>
      <c r="J44" s="126"/>
      <c r="K44" s="127"/>
      <c r="L44" s="127"/>
      <c r="M44" s="128"/>
      <c r="N44" s="133"/>
      <c r="O44" s="133"/>
      <c r="P44" s="133"/>
      <c r="Q44" s="133"/>
      <c r="R44" s="133"/>
      <c r="U44" s="116"/>
    </row>
    <row r="45" spans="2:21" s="67" customFormat="1" ht="18" customHeight="1">
      <c r="B45" s="170" t="str">
        <f t="shared" si="2"/>
        <v>Sunday</v>
      </c>
      <c r="C45" s="172">
        <f t="shared" ref="C45" si="48">C43+1</f>
        <v>44395</v>
      </c>
      <c r="D45" s="118"/>
      <c r="E45" s="118"/>
      <c r="F45" s="164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73" t="s">
        <v>209</v>
      </c>
      <c r="H45" s="175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64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6"/>
      <c r="K45" s="127"/>
      <c r="L45" s="127"/>
      <c r="M45" s="128"/>
      <c r="N45" s="132"/>
      <c r="O45" s="133"/>
      <c r="P45" s="133"/>
      <c r="Q45" s="133"/>
      <c r="R45" s="133"/>
      <c r="U45" s="116"/>
    </row>
    <row r="46" spans="2:21" s="67" customFormat="1" ht="18" customHeight="1">
      <c r="B46" s="171"/>
      <c r="C46" s="172"/>
      <c r="D46" s="118"/>
      <c r="E46" s="118"/>
      <c r="F46" s="165"/>
      <c r="G46" s="174"/>
      <c r="H46" s="175"/>
      <c r="I46" s="165"/>
      <c r="J46" s="126"/>
      <c r="K46" s="127"/>
      <c r="L46" s="127"/>
      <c r="M46" s="128"/>
      <c r="N46" s="132"/>
      <c r="O46" s="133"/>
      <c r="P46" s="133"/>
      <c r="Q46" s="133"/>
      <c r="R46" s="133"/>
      <c r="U46" s="116"/>
    </row>
    <row r="47" spans="2:21" s="67" customFormat="1" ht="18" customHeight="1">
      <c r="B47" s="162" t="str">
        <f t="shared" si="2"/>
        <v>Monday</v>
      </c>
      <c r="C47" s="168">
        <f t="shared" ref="C47" si="51">C45+1</f>
        <v>44396</v>
      </c>
      <c r="D47" s="39"/>
      <c r="E47" s="39"/>
      <c r="F47" s="136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66" t="s">
        <v>209</v>
      </c>
      <c r="H47" s="169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6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9"/>
      <c r="K47" s="130"/>
      <c r="L47" s="130"/>
      <c r="M47" s="131"/>
      <c r="N47" s="134"/>
      <c r="O47" s="135"/>
      <c r="P47" s="135"/>
      <c r="Q47" s="135"/>
      <c r="R47" s="135"/>
      <c r="U47" s="116"/>
    </row>
    <row r="48" spans="2:21" s="67" customFormat="1" ht="18" customHeight="1">
      <c r="B48" s="163"/>
      <c r="C48" s="168"/>
      <c r="D48" s="39"/>
      <c r="E48" s="39"/>
      <c r="F48" s="137"/>
      <c r="G48" s="167"/>
      <c r="H48" s="169"/>
      <c r="I48" s="137"/>
      <c r="J48" s="129"/>
      <c r="K48" s="130"/>
      <c r="L48" s="130"/>
      <c r="M48" s="131"/>
      <c r="N48" s="134"/>
      <c r="O48" s="135"/>
      <c r="P48" s="135"/>
      <c r="Q48" s="135"/>
      <c r="R48" s="135"/>
      <c r="U48" s="116"/>
    </row>
    <row r="49" spans="2:21" s="67" customFormat="1" ht="18" customHeight="1">
      <c r="B49" s="170" t="str">
        <f t="shared" si="2"/>
        <v>Tuesday</v>
      </c>
      <c r="C49" s="172">
        <f t="shared" ref="C49" si="54">C47+1</f>
        <v>44397</v>
      </c>
      <c r="D49" s="118"/>
      <c r="E49" s="118"/>
      <c r="F49" s="164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73" t="s">
        <v>209</v>
      </c>
      <c r="H49" s="175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64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6"/>
      <c r="K49" s="127"/>
      <c r="L49" s="127"/>
      <c r="M49" s="128"/>
      <c r="N49" s="132"/>
      <c r="O49" s="133"/>
      <c r="P49" s="133"/>
      <c r="Q49" s="133"/>
      <c r="R49" s="133"/>
      <c r="U49" s="116"/>
    </row>
    <row r="50" spans="2:21" s="67" customFormat="1" ht="18" customHeight="1">
      <c r="B50" s="171"/>
      <c r="C50" s="172"/>
      <c r="D50" s="118"/>
      <c r="E50" s="118"/>
      <c r="F50" s="165"/>
      <c r="G50" s="174"/>
      <c r="H50" s="175"/>
      <c r="I50" s="165"/>
      <c r="J50" s="126"/>
      <c r="K50" s="127"/>
      <c r="L50" s="127"/>
      <c r="M50" s="128"/>
      <c r="N50" s="133"/>
      <c r="O50" s="133"/>
      <c r="P50" s="133"/>
      <c r="Q50" s="133"/>
      <c r="R50" s="133"/>
      <c r="U50" s="116"/>
    </row>
    <row r="51" spans="2:21" s="67" customFormat="1" ht="18" customHeight="1">
      <c r="B51" s="162" t="str">
        <f t="shared" si="2"/>
        <v>Wednesday</v>
      </c>
      <c r="C51" s="168">
        <f t="shared" ref="C51" si="57">C49+1</f>
        <v>44398</v>
      </c>
      <c r="D51" s="39"/>
      <c r="E51" s="39"/>
      <c r="F51" s="136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66" t="s">
        <v>209</v>
      </c>
      <c r="H51" s="169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6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9"/>
      <c r="K51" s="130"/>
      <c r="L51" s="130"/>
      <c r="M51" s="131"/>
      <c r="N51" s="135"/>
      <c r="O51" s="135"/>
      <c r="P51" s="135"/>
      <c r="Q51" s="135"/>
      <c r="R51" s="135"/>
      <c r="U51" s="116"/>
    </row>
    <row r="52" spans="2:21" s="67" customFormat="1" ht="18" customHeight="1">
      <c r="B52" s="163"/>
      <c r="C52" s="168"/>
      <c r="D52" s="39"/>
      <c r="E52" s="39"/>
      <c r="F52" s="137"/>
      <c r="G52" s="167"/>
      <c r="H52" s="169"/>
      <c r="I52" s="137"/>
      <c r="J52" s="129"/>
      <c r="K52" s="130"/>
      <c r="L52" s="130"/>
      <c r="M52" s="131"/>
      <c r="N52" s="135"/>
      <c r="O52" s="135"/>
      <c r="P52" s="135"/>
      <c r="Q52" s="135"/>
      <c r="R52" s="135"/>
      <c r="U52" s="116"/>
    </row>
    <row r="53" spans="2:21" s="67" customFormat="1" ht="18" customHeight="1">
      <c r="B53" s="162" t="str">
        <f t="shared" si="2"/>
        <v>Thursday</v>
      </c>
      <c r="C53" s="168">
        <f t="shared" ref="C53" si="58">C51+1</f>
        <v>44399</v>
      </c>
      <c r="D53" s="39"/>
      <c r="E53" s="39"/>
      <c r="F53" s="136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66" t="s">
        <v>209</v>
      </c>
      <c r="H53" s="169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36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9"/>
      <c r="K53" s="130"/>
      <c r="L53" s="130"/>
      <c r="M53" s="131"/>
      <c r="N53" s="135"/>
      <c r="O53" s="135"/>
      <c r="P53" s="135"/>
      <c r="Q53" s="135"/>
      <c r="R53" s="135"/>
      <c r="U53" s="116"/>
    </row>
    <row r="54" spans="2:21" s="67" customFormat="1" ht="18" customHeight="1">
      <c r="B54" s="163"/>
      <c r="C54" s="168"/>
      <c r="D54" s="39"/>
      <c r="E54" s="39"/>
      <c r="F54" s="137"/>
      <c r="G54" s="167"/>
      <c r="H54" s="169"/>
      <c r="I54" s="137"/>
      <c r="J54" s="129"/>
      <c r="K54" s="130"/>
      <c r="L54" s="130"/>
      <c r="M54" s="131"/>
      <c r="N54" s="135"/>
      <c r="O54" s="135"/>
      <c r="P54" s="135"/>
      <c r="Q54" s="135"/>
      <c r="R54" s="135"/>
      <c r="U54" s="116"/>
    </row>
    <row r="55" spans="2:21" s="67" customFormat="1" ht="18" customHeight="1">
      <c r="B55" s="162" t="str">
        <f t="shared" si="2"/>
        <v>Friday</v>
      </c>
      <c r="C55" s="168">
        <f t="shared" ref="C55" si="61">C53+1</f>
        <v>44400</v>
      </c>
      <c r="D55" s="39"/>
      <c r="E55" s="39"/>
      <c r="F55" s="136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66" t="s">
        <v>209</v>
      </c>
      <c r="H55" s="169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36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9"/>
      <c r="K55" s="130"/>
      <c r="L55" s="130"/>
      <c r="M55" s="131"/>
      <c r="N55" s="135"/>
      <c r="O55" s="135"/>
      <c r="P55" s="135"/>
      <c r="Q55" s="135"/>
      <c r="R55" s="135"/>
      <c r="U55" s="116"/>
    </row>
    <row r="56" spans="2:21" s="67" customFormat="1" ht="18" customHeight="1">
      <c r="B56" s="163"/>
      <c r="C56" s="168"/>
      <c r="D56" s="39"/>
      <c r="E56" s="39"/>
      <c r="F56" s="137"/>
      <c r="G56" s="167"/>
      <c r="H56" s="169"/>
      <c r="I56" s="137"/>
      <c r="J56" s="129"/>
      <c r="K56" s="130"/>
      <c r="L56" s="130"/>
      <c r="M56" s="131"/>
      <c r="N56" s="135"/>
      <c r="O56" s="135"/>
      <c r="P56" s="135"/>
      <c r="Q56" s="135"/>
      <c r="R56" s="135"/>
      <c r="U56" s="116"/>
    </row>
    <row r="57" spans="2:21" s="67" customFormat="1" ht="18" customHeight="1">
      <c r="B57" s="170" t="str">
        <f t="shared" si="2"/>
        <v>Saturday</v>
      </c>
      <c r="C57" s="172">
        <f t="shared" ref="C57" si="64">C55+1</f>
        <v>44401</v>
      </c>
      <c r="D57" s="118"/>
      <c r="E57" s="118"/>
      <c r="F57" s="164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73" t="s">
        <v>209</v>
      </c>
      <c r="H57" s="175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64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6"/>
      <c r="K57" s="127"/>
      <c r="L57" s="127"/>
      <c r="M57" s="128"/>
      <c r="N57" s="132"/>
      <c r="O57" s="133"/>
      <c r="P57" s="133"/>
      <c r="Q57" s="133"/>
      <c r="R57" s="133"/>
      <c r="U57" s="116"/>
    </row>
    <row r="58" spans="2:21" s="67" customFormat="1" ht="18" customHeight="1">
      <c r="B58" s="171"/>
      <c r="C58" s="172"/>
      <c r="D58" s="118"/>
      <c r="E58" s="118"/>
      <c r="F58" s="165"/>
      <c r="G58" s="174"/>
      <c r="H58" s="175"/>
      <c r="I58" s="165"/>
      <c r="J58" s="126"/>
      <c r="K58" s="127"/>
      <c r="L58" s="127"/>
      <c r="M58" s="128"/>
      <c r="N58" s="133"/>
      <c r="O58" s="133"/>
      <c r="P58" s="133"/>
      <c r="Q58" s="133"/>
      <c r="R58" s="133"/>
      <c r="U58" s="116"/>
    </row>
    <row r="59" spans="2:21" s="67" customFormat="1" ht="18" customHeight="1">
      <c r="B59" s="170" t="str">
        <f t="shared" si="2"/>
        <v>Sunday</v>
      </c>
      <c r="C59" s="172">
        <f t="shared" ref="C59" si="67">C57+1</f>
        <v>44402</v>
      </c>
      <c r="D59" s="118"/>
      <c r="E59" s="118"/>
      <c r="F59" s="164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73" t="s">
        <v>209</v>
      </c>
      <c r="H59" s="175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64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6"/>
      <c r="K59" s="127"/>
      <c r="L59" s="127"/>
      <c r="M59" s="128"/>
      <c r="N59" s="132"/>
      <c r="O59" s="133"/>
      <c r="P59" s="133"/>
      <c r="Q59" s="133"/>
      <c r="R59" s="133"/>
      <c r="U59" s="116"/>
    </row>
    <row r="60" spans="2:21" s="67" customFormat="1" ht="18" customHeight="1">
      <c r="B60" s="171"/>
      <c r="C60" s="172"/>
      <c r="D60" s="118"/>
      <c r="E60" s="118"/>
      <c r="F60" s="165"/>
      <c r="G60" s="174"/>
      <c r="H60" s="175"/>
      <c r="I60" s="165"/>
      <c r="J60" s="126"/>
      <c r="K60" s="127"/>
      <c r="L60" s="127"/>
      <c r="M60" s="128"/>
      <c r="N60" s="132"/>
      <c r="O60" s="133"/>
      <c r="P60" s="133"/>
      <c r="Q60" s="133"/>
      <c r="R60" s="133"/>
      <c r="U60" s="116"/>
    </row>
    <row r="61" spans="2:21" s="67" customFormat="1" ht="18" customHeight="1">
      <c r="B61" s="162" t="str">
        <f t="shared" si="2"/>
        <v>Monday</v>
      </c>
      <c r="C61" s="168">
        <f t="shared" ref="C61" si="70">C59+1</f>
        <v>44403</v>
      </c>
      <c r="D61" s="39"/>
      <c r="E61" s="39"/>
      <c r="F61" s="13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66" t="s">
        <v>209</v>
      </c>
      <c r="H61" s="169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6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9"/>
      <c r="K61" s="130"/>
      <c r="L61" s="130"/>
      <c r="M61" s="131"/>
      <c r="N61" s="134"/>
      <c r="O61" s="135"/>
      <c r="P61" s="135"/>
      <c r="Q61" s="135"/>
      <c r="R61" s="135"/>
      <c r="U61" s="116"/>
    </row>
    <row r="62" spans="2:21" s="67" customFormat="1" ht="18" customHeight="1">
      <c r="B62" s="163"/>
      <c r="C62" s="168"/>
      <c r="D62" s="39"/>
      <c r="E62" s="39"/>
      <c r="F62" s="137"/>
      <c r="G62" s="167"/>
      <c r="H62" s="169"/>
      <c r="I62" s="137"/>
      <c r="J62" s="129"/>
      <c r="K62" s="130"/>
      <c r="L62" s="130"/>
      <c r="M62" s="131"/>
      <c r="N62" s="134"/>
      <c r="O62" s="135"/>
      <c r="P62" s="135"/>
      <c r="Q62" s="135"/>
      <c r="R62" s="135"/>
      <c r="U62" s="116"/>
    </row>
    <row r="63" spans="2:21" s="67" customFormat="1" ht="18" customHeight="1">
      <c r="B63" s="162" t="str">
        <f t="shared" si="2"/>
        <v>Tuesday</v>
      </c>
      <c r="C63" s="168">
        <f t="shared" ref="C63" si="73">C61+1</f>
        <v>44404</v>
      </c>
      <c r="D63" s="39"/>
      <c r="E63" s="39"/>
      <c r="F63" s="13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66" t="s">
        <v>209</v>
      </c>
      <c r="H63" s="169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6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9"/>
      <c r="K63" s="130"/>
      <c r="L63" s="130"/>
      <c r="M63" s="131"/>
      <c r="N63" s="134"/>
      <c r="O63" s="135"/>
      <c r="P63" s="135"/>
      <c r="Q63" s="135"/>
      <c r="R63" s="135"/>
      <c r="U63" s="116"/>
    </row>
    <row r="64" spans="2:21" s="67" customFormat="1" ht="18" customHeight="1">
      <c r="B64" s="163"/>
      <c r="C64" s="168"/>
      <c r="D64" s="39"/>
      <c r="E64" s="39"/>
      <c r="F64" s="137"/>
      <c r="G64" s="167"/>
      <c r="H64" s="169"/>
      <c r="I64" s="137"/>
      <c r="J64" s="129"/>
      <c r="K64" s="130"/>
      <c r="L64" s="130"/>
      <c r="M64" s="131"/>
      <c r="N64" s="135"/>
      <c r="O64" s="135"/>
      <c r="P64" s="135"/>
      <c r="Q64" s="135"/>
      <c r="R64" s="135"/>
      <c r="U64" s="116"/>
    </row>
    <row r="65" spans="2:23" s="67" customFormat="1" ht="18" customHeight="1">
      <c r="B65" s="162" t="str">
        <f t="shared" si="2"/>
        <v>Wednesday</v>
      </c>
      <c r="C65" s="168">
        <f t="shared" ref="C65" si="76">C63+1</f>
        <v>44405</v>
      </c>
      <c r="D65" s="39"/>
      <c r="E65" s="39"/>
      <c r="F65" s="136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66" t="s">
        <v>209</v>
      </c>
      <c r="H65" s="169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6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9"/>
      <c r="K65" s="130"/>
      <c r="L65" s="130"/>
      <c r="M65" s="131"/>
      <c r="N65" s="135"/>
      <c r="O65" s="135"/>
      <c r="P65" s="135"/>
      <c r="Q65" s="135"/>
      <c r="R65" s="135"/>
      <c r="U65" s="116"/>
    </row>
    <row r="66" spans="2:23" s="67" customFormat="1" ht="18" customHeight="1">
      <c r="B66" s="163"/>
      <c r="C66" s="168"/>
      <c r="D66" s="39"/>
      <c r="E66" s="39"/>
      <c r="F66" s="137"/>
      <c r="G66" s="167"/>
      <c r="H66" s="169"/>
      <c r="I66" s="137"/>
      <c r="J66" s="129"/>
      <c r="K66" s="130"/>
      <c r="L66" s="130"/>
      <c r="M66" s="131"/>
      <c r="N66" s="135"/>
      <c r="O66" s="135"/>
      <c r="P66" s="135"/>
      <c r="Q66" s="135"/>
      <c r="R66" s="135"/>
      <c r="U66" s="116"/>
    </row>
    <row r="67" spans="2:23" s="67" customFormat="1" ht="18" customHeight="1">
      <c r="B67" s="162" t="str">
        <f t="shared" si="2"/>
        <v>Thursday</v>
      </c>
      <c r="C67" s="168">
        <f t="shared" ref="C67" si="79">C65+1</f>
        <v>44406</v>
      </c>
      <c r="D67" s="39"/>
      <c r="E67" s="39"/>
      <c r="F67" s="136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66" t="s">
        <v>209</v>
      </c>
      <c r="H67" s="169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36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9"/>
      <c r="K67" s="130"/>
      <c r="L67" s="130"/>
      <c r="M67" s="131"/>
      <c r="N67" s="135"/>
      <c r="O67" s="135"/>
      <c r="P67" s="135"/>
      <c r="Q67" s="135"/>
      <c r="R67" s="135"/>
      <c r="U67" s="116"/>
    </row>
    <row r="68" spans="2:23" s="67" customFormat="1" ht="18" customHeight="1">
      <c r="B68" s="163"/>
      <c r="C68" s="168"/>
      <c r="D68" s="39"/>
      <c r="E68" s="39"/>
      <c r="F68" s="137"/>
      <c r="G68" s="167"/>
      <c r="H68" s="169"/>
      <c r="I68" s="137"/>
      <c r="J68" s="129"/>
      <c r="K68" s="130"/>
      <c r="L68" s="130"/>
      <c r="M68" s="131"/>
      <c r="N68" s="135"/>
      <c r="O68" s="135"/>
      <c r="P68" s="135"/>
      <c r="Q68" s="135"/>
      <c r="R68" s="135"/>
      <c r="U68" s="116"/>
    </row>
    <row r="69" spans="2:23" s="67" customFormat="1" ht="18" customHeight="1">
      <c r="B69" s="162" t="str">
        <f t="shared" si="2"/>
        <v>Friday</v>
      </c>
      <c r="C69" s="168">
        <f t="shared" ref="C69" si="82">C67+1</f>
        <v>44407</v>
      </c>
      <c r="D69" s="39"/>
      <c r="E69" s="39"/>
      <c r="F69" s="136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66" t="s">
        <v>209</v>
      </c>
      <c r="H69" s="169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36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9"/>
      <c r="K69" s="130"/>
      <c r="L69" s="130"/>
      <c r="M69" s="131"/>
      <c r="N69" s="135"/>
      <c r="O69" s="135"/>
      <c r="P69" s="135"/>
      <c r="Q69" s="135"/>
      <c r="R69" s="135"/>
      <c r="U69" s="116"/>
    </row>
    <row r="70" spans="2:23" s="67" customFormat="1" ht="18" customHeight="1">
      <c r="B70" s="163"/>
      <c r="C70" s="168"/>
      <c r="D70" s="39"/>
      <c r="E70" s="39"/>
      <c r="F70" s="137"/>
      <c r="G70" s="167"/>
      <c r="H70" s="169"/>
      <c r="I70" s="137"/>
      <c r="J70" s="129"/>
      <c r="K70" s="130"/>
      <c r="L70" s="130"/>
      <c r="M70" s="131"/>
      <c r="N70" s="196"/>
      <c r="O70" s="196"/>
      <c r="P70" s="196"/>
      <c r="Q70" s="196"/>
      <c r="R70" s="196"/>
      <c r="U70" s="116"/>
    </row>
    <row r="71" spans="2:23" s="21" customFormat="1" ht="15" customHeight="1">
      <c r="B71" s="170" t="str">
        <f>CHOOSE(WEEKDAY(C71),"Sunday","Monday","Tuesday","Wednesday","Thursday","Friday","Saturday")</f>
        <v>Saturday</v>
      </c>
      <c r="C71" s="172">
        <f t="shared" ref="C71" si="85">C69+1</f>
        <v>44408</v>
      </c>
      <c r="D71" s="118"/>
      <c r="E71" s="118"/>
      <c r="F71" s="164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73" t="s">
        <v>209</v>
      </c>
      <c r="H71" s="175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64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6"/>
      <c r="K71" s="127"/>
      <c r="L71" s="127"/>
      <c r="M71" s="128"/>
      <c r="N71" s="132"/>
      <c r="O71" s="133"/>
      <c r="P71" s="133"/>
      <c r="Q71" s="133"/>
      <c r="R71" s="133"/>
      <c r="U71" s="71"/>
    </row>
    <row r="72" spans="2:23" s="21" customFormat="1" ht="15.75">
      <c r="B72" s="171"/>
      <c r="C72" s="172"/>
      <c r="D72" s="118"/>
      <c r="E72" s="118"/>
      <c r="F72" s="165"/>
      <c r="G72" s="174"/>
      <c r="H72" s="175"/>
      <c r="I72" s="165"/>
      <c r="J72" s="126"/>
      <c r="K72" s="127"/>
      <c r="L72" s="127"/>
      <c r="M72" s="128"/>
      <c r="N72" s="133"/>
      <c r="O72" s="133"/>
      <c r="P72" s="133"/>
      <c r="Q72" s="133"/>
      <c r="R72" s="133"/>
      <c r="U72" s="114">
        <f>List!F19</f>
        <v>21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0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0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0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1"/>
    </row>
    <row r="77" spans="2:23" s="21" customFormat="1" ht="15" customHeight="1">
      <c r="B77" s="18"/>
      <c r="E77" s="185">
        <f>F77*8</f>
        <v>0</v>
      </c>
      <c r="F77" s="185">
        <f>COUNTIF(List!$K$3:$K$70,"&gt;0")</f>
        <v>0</v>
      </c>
      <c r="G77" s="123">
        <f>SUM('Timesheet-Regular'!$F$11:$F$72)</f>
        <v>0</v>
      </c>
      <c r="H77" s="123">
        <f>G77/8</f>
        <v>0</v>
      </c>
      <c r="I77" s="123" t="str">
        <f>IF($D$6="Yes",COUNTIF(List!L3:L70,"morning"),"")</f>
        <v/>
      </c>
      <c r="J77" s="123" t="str">
        <f>IF($D$6="Yes",COUNTIF(List!L3:L70,"afternoon"),"")</f>
        <v/>
      </c>
      <c r="K77" s="123" t="str">
        <f>IF($D$6="Yes",COUNTIF(List!L3:L70,"night"),"")</f>
        <v/>
      </c>
      <c r="L77" s="123">
        <f>SUM('Timesheet-Regular'!$H$11:$H$72)</f>
        <v>0</v>
      </c>
      <c r="M77" s="123">
        <f>L77/8</f>
        <v>0</v>
      </c>
      <c r="N77" s="123">
        <f>SUM('Timesheet-Regular'!$I$11:$I$72)</f>
        <v>0</v>
      </c>
      <c r="O77" s="123">
        <f>N77/8</f>
        <v>0</v>
      </c>
      <c r="R77" s="10"/>
      <c r="S77" s="10"/>
      <c r="U77" s="71"/>
    </row>
    <row r="78" spans="2:23" s="21" customFormat="1" ht="15" customHeight="1">
      <c r="B78" s="18"/>
      <c r="E78" s="185"/>
      <c r="F78" s="185"/>
      <c r="G78" s="124"/>
      <c r="H78" s="124"/>
      <c r="I78" s="124"/>
      <c r="J78" s="124"/>
      <c r="K78" s="124"/>
      <c r="L78" s="124"/>
      <c r="M78" s="124"/>
      <c r="N78" s="124"/>
      <c r="O78" s="124"/>
      <c r="R78" s="10"/>
      <c r="S78" s="10"/>
      <c r="U78" s="71"/>
    </row>
    <row r="79" spans="2:23" s="21" customFormat="1" ht="15" customHeight="1">
      <c r="B79" s="18"/>
      <c r="E79" s="185"/>
      <c r="F79" s="185"/>
      <c r="G79" s="125"/>
      <c r="H79" s="125"/>
      <c r="I79" s="125"/>
      <c r="J79" s="125"/>
      <c r="K79" s="125"/>
      <c r="L79" s="125"/>
      <c r="M79" s="125"/>
      <c r="N79" s="125"/>
      <c r="O79" s="125"/>
      <c r="R79" s="10"/>
      <c r="S79" s="10"/>
      <c r="U79" s="71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0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1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1"/>
    </row>
    <row r="83" spans="2:21" ht="15" customHeight="1">
      <c r="B83" s="161" t="s">
        <v>1</v>
      </c>
      <c r="C83" s="161"/>
      <c r="D83" s="161"/>
      <c r="E83" s="161" t="s">
        <v>11</v>
      </c>
      <c r="F83" s="161"/>
      <c r="G83" s="161"/>
      <c r="H83" s="158" t="s">
        <v>139</v>
      </c>
      <c r="I83" s="159"/>
      <c r="J83" s="160"/>
      <c r="K83" s="158" t="s">
        <v>11</v>
      </c>
      <c r="L83" s="159"/>
      <c r="M83" s="160"/>
      <c r="N83" s="158" t="s">
        <v>140</v>
      </c>
      <c r="O83" s="159"/>
      <c r="P83" s="160"/>
      <c r="Q83" s="161" t="s">
        <v>11</v>
      </c>
      <c r="R83" s="161"/>
    </row>
    <row r="84" spans="2:21" ht="15" customHeight="1">
      <c r="B84" s="176">
        <f>D3</f>
        <v>0</v>
      </c>
      <c r="C84" s="177"/>
      <c r="D84" s="178"/>
      <c r="E84" s="140"/>
      <c r="F84" s="141"/>
      <c r="G84" s="142"/>
      <c r="H84" s="149"/>
      <c r="I84" s="150"/>
      <c r="J84" s="151"/>
      <c r="K84" s="140"/>
      <c r="L84" s="141"/>
      <c r="M84" s="142"/>
      <c r="N84" s="149"/>
      <c r="O84" s="150"/>
      <c r="P84" s="151"/>
      <c r="Q84" s="140"/>
      <c r="R84" s="142"/>
    </row>
    <row r="85" spans="2:21" ht="15" customHeight="1">
      <c r="B85" s="179"/>
      <c r="C85" s="180"/>
      <c r="D85" s="181"/>
      <c r="E85" s="143"/>
      <c r="F85" s="144"/>
      <c r="G85" s="145"/>
      <c r="H85" s="152"/>
      <c r="I85" s="153"/>
      <c r="J85" s="154"/>
      <c r="K85" s="143"/>
      <c r="L85" s="144"/>
      <c r="M85" s="145"/>
      <c r="N85" s="152"/>
      <c r="O85" s="153"/>
      <c r="P85" s="154"/>
      <c r="Q85" s="143"/>
      <c r="R85" s="145"/>
    </row>
    <row r="86" spans="2:21" ht="15" customHeight="1">
      <c r="B86" s="179"/>
      <c r="C86" s="180"/>
      <c r="D86" s="181"/>
      <c r="E86" s="143"/>
      <c r="F86" s="144"/>
      <c r="G86" s="145"/>
      <c r="H86" s="152"/>
      <c r="I86" s="153"/>
      <c r="J86" s="154"/>
      <c r="K86" s="143"/>
      <c r="L86" s="144"/>
      <c r="M86" s="145"/>
      <c r="N86" s="152"/>
      <c r="O86" s="153"/>
      <c r="P86" s="154"/>
      <c r="Q86" s="143"/>
      <c r="R86" s="145"/>
    </row>
    <row r="87" spans="2:21" ht="15" customHeight="1">
      <c r="B87" s="182"/>
      <c r="C87" s="183"/>
      <c r="D87" s="184"/>
      <c r="E87" s="146"/>
      <c r="F87" s="147"/>
      <c r="G87" s="148"/>
      <c r="H87" s="155"/>
      <c r="I87" s="156"/>
      <c r="J87" s="157"/>
      <c r="K87" s="146"/>
      <c r="L87" s="147"/>
      <c r="M87" s="148"/>
      <c r="N87" s="155"/>
      <c r="O87" s="156"/>
      <c r="P87" s="157"/>
      <c r="Q87" s="146"/>
      <c r="R87" s="148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6"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D2:J2">
      <formula1>List!B$3:B$74</formula1>
    </dataValidation>
    <dataValidation type="list" allowBlank="1" showInputMessage="1" showErrorMessage="1" sqref="D6:J6">
      <formula1>List!C$4:C$5</formula1>
    </dataValidation>
    <dataValidation type="list" allowBlank="1" showInputMessage="1" showErrorMessage="1" sqref="J49:M50 J29:M32 J15:M18 J43:M46 J57:M60 J71:M72">
      <formula1>List!H$4:H$10</formula1>
    </dataValidation>
    <dataValidation type="list" allowBlank="1" showInputMessage="1" showErrorMessage="1" sqref="J11:M14 J51:M56 J19:M28 J33:M42 J47:M48 J61:M70">
      <formula1>List!G$4:G$14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List!B$3:B$74</xm:f>
          </x14:formula1>
          <xm:sqref>D2:J2</xm:sqref>
        </x14:dataValidation>
        <x14:dataValidation type="list" allowBlank="1" showInputMessage="1" showErrorMessage="1">
          <x14:formula1>
            <xm:f>List!C$3:C$5</xm:f>
          </x14:formula1>
          <xm:sqref>D6</xm:sqref>
        </x14:dataValidation>
        <x14:dataValidation type="list" allowBlank="1" showInputMessage="1" showErrorMessage="1">
          <x14:formula1>
            <xm:f>List!G$3:G$14</xm:f>
          </x14:formula1>
          <xm:sqref>J69:J70 J13:J22 J27:J36 J41:J50 J55:J64</xm:sqref>
        </x14:dataValidation>
        <x14:dataValidation type="list" allowBlank="1" showInputMessage="1" showErrorMessage="1">
          <x14:formula1>
            <xm:f>List!H$3:H$10</xm:f>
          </x14:formula1>
          <xm:sqref>J71:M72 J51:J54 K67:M68 K39:M40 J65:J68 K53:M54 J11:J12 J23:J26 K25:M26 J37:J40</xm:sqref>
        </x14:dataValidation>
        <x14:dataValidation type="list" allowBlank="1" showInputMessage="1" showErrorMessage="1">
          <x14:formula1>
            <xm:f>List!D$4:D$6</xm:f>
          </x14:formula1>
          <xm:sqref>G11:G72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80" zoomScaleNormal="90" zoomScalePageLayoutView="80" workbookViewId="0">
      <selection activeCell="G20" sqref="G19:I20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86" t="s">
        <v>0</v>
      </c>
      <c r="E2" s="186"/>
      <c r="F2" s="95">
        <f>'Timesheet-Regular'!D2</f>
        <v>0</v>
      </c>
      <c r="G2" s="96"/>
      <c r="H2" s="96"/>
      <c r="I2" s="96"/>
      <c r="J2" s="96"/>
      <c r="K2" s="96"/>
      <c r="L2" s="96"/>
      <c r="M2" s="97"/>
      <c r="N2" s="11"/>
      <c r="O2" s="11"/>
      <c r="P2" s="11"/>
      <c r="S2" s="12"/>
      <c r="T2" s="12"/>
    </row>
    <row r="3" spans="2:21" ht="15" customHeight="1">
      <c r="D3" s="186" t="s">
        <v>1</v>
      </c>
      <c r="E3" s="186"/>
      <c r="F3" s="223">
        <f>'Timesheet-Regular'!D3</f>
        <v>0</v>
      </c>
      <c r="G3" s="224"/>
      <c r="H3" s="224"/>
      <c r="I3" s="224"/>
      <c r="J3" s="224"/>
      <c r="K3" s="224"/>
      <c r="L3" s="224"/>
      <c r="M3" s="225"/>
      <c r="S3" s="12"/>
      <c r="T3" s="12"/>
    </row>
    <row r="4" spans="2:21" ht="15" customHeight="1">
      <c r="D4" s="186" t="s">
        <v>2</v>
      </c>
      <c r="E4" s="186"/>
      <c r="F4" s="223">
        <f>'Timesheet-Regular'!D4</f>
        <v>0</v>
      </c>
      <c r="G4" s="224"/>
      <c r="H4" s="224"/>
      <c r="I4" s="224"/>
      <c r="J4" s="224"/>
      <c r="K4" s="224"/>
      <c r="L4" s="224"/>
      <c r="M4" s="225"/>
      <c r="N4" s="14"/>
      <c r="S4" s="12"/>
      <c r="T4" s="12"/>
    </row>
    <row r="5" spans="2:21" ht="15" customHeight="1">
      <c r="B5" s="11"/>
      <c r="D5" s="186" t="s">
        <v>3</v>
      </c>
      <c r="E5" s="186"/>
      <c r="F5" s="226">
        <f>'Timesheet-Regular'!D7</f>
        <v>44378</v>
      </c>
      <c r="G5" s="227"/>
      <c r="H5" s="227"/>
      <c r="I5" s="227"/>
      <c r="J5" s="227"/>
      <c r="K5" s="227"/>
      <c r="L5" s="227"/>
      <c r="M5" s="228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121" t="s">
        <v>4</v>
      </c>
      <c r="D8" s="122" t="s">
        <v>5</v>
      </c>
      <c r="E8" s="121" t="s">
        <v>6</v>
      </c>
      <c r="F8" s="121" t="s">
        <v>7</v>
      </c>
      <c r="G8" s="121" t="s">
        <v>156</v>
      </c>
      <c r="H8" s="121" t="s">
        <v>148</v>
      </c>
      <c r="I8" s="121" t="s">
        <v>14</v>
      </c>
      <c r="J8" s="229" t="s">
        <v>15</v>
      </c>
      <c r="K8" s="229"/>
      <c r="L8" s="229"/>
      <c r="M8" s="229"/>
      <c r="N8" s="229"/>
      <c r="O8" s="229"/>
      <c r="P8" s="229"/>
      <c r="Q8" s="229"/>
      <c r="S8" s="77"/>
    </row>
    <row r="9" spans="2:21" ht="15" customHeight="1">
      <c r="C9" s="162" t="str">
        <f>CHOOSE(WEEKDAY(D9),"Sunday","Monday","Tuesday","Wednesday","Thursday","Friday","Saturday")</f>
        <v>Thursday</v>
      </c>
      <c r="D9" s="192">
        <f>F5</f>
        <v>44378</v>
      </c>
      <c r="E9" s="72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2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3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99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6"/>
      <c r="K9" s="207"/>
      <c r="L9" s="207"/>
      <c r="M9" s="207"/>
      <c r="N9" s="207"/>
      <c r="O9" s="207"/>
      <c r="P9" s="207"/>
      <c r="Q9" s="208"/>
      <c r="R9" s="11"/>
      <c r="S9" s="77"/>
      <c r="U9" s="70"/>
    </row>
    <row r="10" spans="2:21" ht="15" customHeight="1">
      <c r="C10" s="163"/>
      <c r="D10" s="193"/>
      <c r="E10" s="72">
        <f>IFERROR(IF(G10="Yes",Sheet2!B5,0),"")</f>
        <v>0</v>
      </c>
      <c r="F10" s="72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37"/>
      <c r="I10" s="200"/>
      <c r="J10" s="206"/>
      <c r="K10" s="207"/>
      <c r="L10" s="207"/>
      <c r="M10" s="207"/>
      <c r="N10" s="207"/>
      <c r="O10" s="207"/>
      <c r="P10" s="207"/>
      <c r="Q10" s="208"/>
      <c r="R10" s="11"/>
      <c r="S10" s="77"/>
      <c r="U10" s="73"/>
    </row>
    <row r="11" spans="2:21" ht="15" customHeight="1">
      <c r="C11" s="162" t="str">
        <f t="shared" ref="C11" si="0">CHOOSE(WEEKDAY(D11),"Sunday","Monday","Tuesday","Wednesday","Thursday","Friday","Saturday")</f>
        <v>Friday</v>
      </c>
      <c r="D11" s="192">
        <f>D9+1</f>
        <v>44379</v>
      </c>
      <c r="E11" s="72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2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36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199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6"/>
      <c r="K11" s="207"/>
      <c r="L11" s="207"/>
      <c r="M11" s="207"/>
      <c r="N11" s="207"/>
      <c r="O11" s="207"/>
      <c r="P11" s="207"/>
      <c r="Q11" s="208"/>
      <c r="R11" s="11"/>
      <c r="S11" s="11"/>
      <c r="U11" s="70" t="s">
        <v>68</v>
      </c>
    </row>
    <row r="12" spans="2:21" ht="15" customHeight="1">
      <c r="C12" s="163"/>
      <c r="D12" s="193"/>
      <c r="E12" s="72">
        <f>IFERROR(IF(G12="Yes",Sheet2!B7,0),"")</f>
        <v>0</v>
      </c>
      <c r="F12" s="72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37"/>
      <c r="I12" s="200"/>
      <c r="J12" s="206"/>
      <c r="K12" s="207"/>
      <c r="L12" s="207"/>
      <c r="M12" s="207"/>
      <c r="N12" s="207"/>
      <c r="O12" s="207"/>
      <c r="P12" s="207"/>
      <c r="Q12" s="208"/>
      <c r="R12" s="11"/>
      <c r="S12" s="11"/>
      <c r="U12" s="70" t="s">
        <v>69</v>
      </c>
    </row>
    <row r="13" spans="2:21" s="21" customFormat="1" ht="15" customHeight="1">
      <c r="C13" s="170" t="str">
        <f t="shared" ref="C13" si="1">CHOOSE(WEEKDAY(D13),"Sunday","Monday","Tuesday","Wednesday","Thursday","Friday","Saturday")</f>
        <v>Saturday</v>
      </c>
      <c r="D13" s="211">
        <f t="shared" ref="D13" si="2">D11+1</f>
        <v>44380</v>
      </c>
      <c r="E13" s="119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119">
        <f>IFERROR(IF(E13=0,0,IF('OT Form'!G13="Yes",Sheet2!C8,0)),"")</f>
        <v>0</v>
      </c>
      <c r="G13" s="118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64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20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3"/>
      <c r="K13" s="204"/>
      <c r="L13" s="204"/>
      <c r="M13" s="204"/>
      <c r="N13" s="204"/>
      <c r="O13" s="204"/>
      <c r="P13" s="204"/>
      <c r="Q13" s="205"/>
      <c r="R13" s="65"/>
      <c r="S13" s="65"/>
      <c r="U13" s="71"/>
    </row>
    <row r="14" spans="2:21" s="21" customFormat="1" ht="15" customHeight="1">
      <c r="C14" s="171"/>
      <c r="D14" s="212"/>
      <c r="E14" s="119">
        <f>IFERROR(IF(G14="Yes",Sheet2!B9,0),"")</f>
        <v>0</v>
      </c>
      <c r="F14" s="119">
        <f>IFERROR(IF('OT Form'!G14="Yes",Sheet2!C9,0),"")</f>
        <v>0</v>
      </c>
      <c r="G14" s="118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65"/>
      <c r="I14" s="221"/>
      <c r="J14" s="203"/>
      <c r="K14" s="204"/>
      <c r="L14" s="204"/>
      <c r="M14" s="204"/>
      <c r="N14" s="204"/>
      <c r="O14" s="204"/>
      <c r="P14" s="204"/>
      <c r="Q14" s="205"/>
      <c r="R14" s="65"/>
      <c r="S14" s="65"/>
      <c r="T14" s="78"/>
    </row>
    <row r="15" spans="2:21" s="21" customFormat="1" ht="15" customHeight="1">
      <c r="C15" s="170" t="str">
        <f t="shared" ref="C15" si="3">CHOOSE(WEEKDAY(D15),"Sunday","Monday","Tuesday","Wednesday","Thursday","Friday","Saturday")</f>
        <v>Sunday</v>
      </c>
      <c r="D15" s="211">
        <f t="shared" ref="D15" si="4">D13+1</f>
        <v>44381</v>
      </c>
      <c r="E15" s="119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119">
        <f>IFERROR(IF(E15=0,0,IF('OT Form'!G15="Yes",Sheet2!C10,0)),"")</f>
        <v>0</v>
      </c>
      <c r="G15" s="118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64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20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3"/>
      <c r="K15" s="204"/>
      <c r="L15" s="204"/>
      <c r="M15" s="204"/>
      <c r="N15" s="204"/>
      <c r="O15" s="204"/>
      <c r="P15" s="204"/>
      <c r="Q15" s="205"/>
      <c r="R15" s="65"/>
      <c r="S15" s="65"/>
    </row>
    <row r="16" spans="2:21" s="21" customFormat="1" ht="15" customHeight="1">
      <c r="C16" s="171"/>
      <c r="D16" s="212"/>
      <c r="E16" s="119">
        <f>IFERROR(IF(G16="Yes",Sheet2!B11,0),"")</f>
        <v>0</v>
      </c>
      <c r="F16" s="119">
        <f>IFERROR(IF('OT Form'!G16="Yes",Sheet2!C11,0),"")</f>
        <v>0</v>
      </c>
      <c r="G16" s="118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65"/>
      <c r="I16" s="221"/>
      <c r="J16" s="203"/>
      <c r="K16" s="204"/>
      <c r="L16" s="204"/>
      <c r="M16" s="204"/>
      <c r="N16" s="204"/>
      <c r="O16" s="204"/>
      <c r="P16" s="204"/>
      <c r="Q16" s="205"/>
      <c r="S16" s="65"/>
    </row>
    <row r="17" spans="3:19" s="21" customFormat="1" ht="15" customHeight="1">
      <c r="C17" s="162" t="str">
        <f t="shared" ref="C17" si="5">CHOOSE(WEEKDAY(D17),"Sunday","Monday","Tuesday","Wednesday","Thursday","Friday","Saturday")</f>
        <v>Monday</v>
      </c>
      <c r="D17" s="192">
        <f t="shared" ref="D17" si="6">D15+1</f>
        <v>44382</v>
      </c>
      <c r="E17" s="72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2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36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199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6"/>
      <c r="K17" s="207"/>
      <c r="L17" s="207"/>
      <c r="M17" s="207"/>
      <c r="N17" s="207"/>
      <c r="O17" s="207"/>
      <c r="P17" s="207"/>
      <c r="Q17" s="208"/>
      <c r="S17" s="11"/>
    </row>
    <row r="18" spans="3:19" s="21" customFormat="1" ht="15" customHeight="1">
      <c r="C18" s="163"/>
      <c r="D18" s="193"/>
      <c r="E18" s="72">
        <f>IFERROR(IF(G18="Yes",Sheet2!B13,0),"")</f>
        <v>0</v>
      </c>
      <c r="F18" s="72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37"/>
      <c r="I18" s="200"/>
      <c r="J18" s="206"/>
      <c r="K18" s="207"/>
      <c r="L18" s="207"/>
      <c r="M18" s="207"/>
      <c r="N18" s="207"/>
      <c r="O18" s="207"/>
      <c r="P18" s="207"/>
      <c r="Q18" s="208"/>
      <c r="S18" s="11"/>
    </row>
    <row r="19" spans="3:19" s="21" customFormat="1" ht="15" customHeight="1">
      <c r="C19" s="162" t="str">
        <f t="shared" ref="C19" si="7">CHOOSE(WEEKDAY(D19),"Sunday","Monday","Tuesday","Wednesday","Thursday","Friday","Saturday")</f>
        <v>Tuesday</v>
      </c>
      <c r="D19" s="192">
        <f t="shared" ref="D19" si="8">D17+1</f>
        <v>44383</v>
      </c>
      <c r="E19" s="72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2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3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199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06"/>
      <c r="K19" s="207"/>
      <c r="L19" s="207"/>
      <c r="M19" s="207"/>
      <c r="N19" s="207"/>
      <c r="O19" s="207"/>
      <c r="P19" s="207"/>
      <c r="Q19" s="208"/>
      <c r="S19" s="11"/>
    </row>
    <row r="20" spans="3:19" s="21" customFormat="1" ht="15" customHeight="1">
      <c r="C20" s="163"/>
      <c r="D20" s="193"/>
      <c r="E20" s="72">
        <f>IFERROR(IF(G20="Yes",Sheet2!B15,0),"")</f>
        <v>0</v>
      </c>
      <c r="F20" s="72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37"/>
      <c r="I20" s="200"/>
      <c r="J20" s="206"/>
      <c r="K20" s="207"/>
      <c r="L20" s="207"/>
      <c r="M20" s="207"/>
      <c r="N20" s="207"/>
      <c r="O20" s="207"/>
      <c r="P20" s="207"/>
      <c r="Q20" s="208"/>
      <c r="S20" s="11"/>
    </row>
    <row r="21" spans="3:19" s="21" customFormat="1" ht="15" customHeight="1">
      <c r="C21" s="162" t="str">
        <f t="shared" ref="C21" si="9">CHOOSE(WEEKDAY(D21),"Sunday","Monday","Tuesday","Wednesday","Thursday","Friday","Saturday")</f>
        <v>Wednesday</v>
      </c>
      <c r="D21" s="192">
        <f t="shared" ref="D21" si="10">D19+1</f>
        <v>44384</v>
      </c>
      <c r="E21" s="72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2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36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199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06"/>
      <c r="K21" s="207"/>
      <c r="L21" s="207"/>
      <c r="M21" s="207"/>
      <c r="N21" s="207"/>
      <c r="O21" s="207"/>
      <c r="P21" s="207"/>
      <c r="Q21" s="208"/>
      <c r="S21" s="11"/>
    </row>
    <row r="22" spans="3:19" s="21" customFormat="1" ht="15" customHeight="1">
      <c r="C22" s="163"/>
      <c r="D22" s="193"/>
      <c r="E22" s="72">
        <f>IFERROR(IF(G22="Yes",Sheet2!B17,0),"")</f>
        <v>0</v>
      </c>
      <c r="F22" s="72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37"/>
      <c r="I22" s="200"/>
      <c r="J22" s="206"/>
      <c r="K22" s="207"/>
      <c r="L22" s="207"/>
      <c r="M22" s="207"/>
      <c r="N22" s="207"/>
      <c r="O22" s="207"/>
      <c r="P22" s="207"/>
      <c r="Q22" s="208"/>
      <c r="S22" s="11"/>
    </row>
    <row r="23" spans="3:19" s="21" customFormat="1" ht="15" customHeight="1">
      <c r="C23" s="162" t="str">
        <f t="shared" ref="C23" si="11">CHOOSE(WEEKDAY(D23),"Sunday","Monday","Tuesday","Wednesday","Thursday","Friday","Saturday")</f>
        <v>Thursday</v>
      </c>
      <c r="D23" s="192">
        <f t="shared" ref="D23" si="12">D21+1</f>
        <v>44385</v>
      </c>
      <c r="E23" s="72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2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36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199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6"/>
      <c r="K23" s="207"/>
      <c r="L23" s="207"/>
      <c r="M23" s="207"/>
      <c r="N23" s="207"/>
      <c r="O23" s="207"/>
      <c r="P23" s="207"/>
      <c r="Q23" s="208"/>
      <c r="S23" s="11"/>
    </row>
    <row r="24" spans="3:19" s="21" customFormat="1" ht="15" customHeight="1">
      <c r="C24" s="163"/>
      <c r="D24" s="193"/>
      <c r="E24" s="72">
        <f>IFERROR(IF(G24="Yes",Sheet2!B19,0),"")</f>
        <v>0</v>
      </c>
      <c r="F24" s="72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37"/>
      <c r="I24" s="200"/>
      <c r="J24" s="206"/>
      <c r="K24" s="207"/>
      <c r="L24" s="207"/>
      <c r="M24" s="207"/>
      <c r="N24" s="207"/>
      <c r="O24" s="207"/>
      <c r="P24" s="207"/>
      <c r="Q24" s="208"/>
      <c r="S24" s="11"/>
    </row>
    <row r="25" spans="3:19" s="21" customFormat="1" ht="15" customHeight="1">
      <c r="C25" s="162" t="str">
        <f t="shared" ref="C25" si="13">CHOOSE(WEEKDAY(D25),"Sunday","Monday","Tuesday","Wednesday","Thursday","Friday","Saturday")</f>
        <v>Friday</v>
      </c>
      <c r="D25" s="192">
        <f t="shared" ref="D25" si="14">D23+1</f>
        <v>44386</v>
      </c>
      <c r="E25" s="72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2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36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199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6"/>
      <c r="K25" s="207"/>
      <c r="L25" s="207"/>
      <c r="M25" s="207"/>
      <c r="N25" s="207"/>
      <c r="O25" s="207"/>
      <c r="P25" s="207"/>
      <c r="Q25" s="208"/>
      <c r="S25" s="11"/>
    </row>
    <row r="26" spans="3:19" s="21" customFormat="1" ht="15" customHeight="1">
      <c r="C26" s="163"/>
      <c r="D26" s="193"/>
      <c r="E26" s="72">
        <f>IFERROR(IF(G26="Yes",Sheet2!B21,0),"")</f>
        <v>0</v>
      </c>
      <c r="F26" s="72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37"/>
      <c r="I26" s="200"/>
      <c r="J26" s="206"/>
      <c r="K26" s="207"/>
      <c r="L26" s="207"/>
      <c r="M26" s="207"/>
      <c r="N26" s="207"/>
      <c r="O26" s="207"/>
      <c r="P26" s="207"/>
      <c r="Q26" s="208"/>
      <c r="S26" s="11"/>
    </row>
    <row r="27" spans="3:19" s="21" customFormat="1" ht="15" customHeight="1">
      <c r="C27" s="170" t="str">
        <f t="shared" ref="C27" si="15">CHOOSE(WEEKDAY(D27),"Sunday","Monday","Tuesday","Wednesday","Thursday","Friday","Saturday")</f>
        <v>Saturday</v>
      </c>
      <c r="D27" s="211">
        <f t="shared" ref="D27" si="16">D25+1</f>
        <v>44387</v>
      </c>
      <c r="E27" s="119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119">
        <f>IFERROR(IF(E27=0,0,IF('OT Form'!G27="Yes",Sheet2!C22,0)),"")</f>
        <v>0</v>
      </c>
      <c r="G27" s="118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64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20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3"/>
      <c r="K27" s="204"/>
      <c r="L27" s="204"/>
      <c r="M27" s="204"/>
      <c r="N27" s="204"/>
      <c r="O27" s="204"/>
      <c r="P27" s="204"/>
      <c r="Q27" s="205"/>
      <c r="S27" s="11"/>
    </row>
    <row r="28" spans="3:19" s="21" customFormat="1" ht="15" customHeight="1">
      <c r="C28" s="171"/>
      <c r="D28" s="212"/>
      <c r="E28" s="119">
        <f>IFERROR(IF(G28="Yes",Sheet2!B23,0),"")</f>
        <v>0</v>
      </c>
      <c r="F28" s="119">
        <f>IFERROR(IF('OT Form'!G28="Yes",Sheet2!C23,0),"")</f>
        <v>0</v>
      </c>
      <c r="G28" s="118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65"/>
      <c r="I28" s="221"/>
      <c r="J28" s="203"/>
      <c r="K28" s="204"/>
      <c r="L28" s="204"/>
      <c r="M28" s="204"/>
      <c r="N28" s="204"/>
      <c r="O28" s="204"/>
      <c r="P28" s="204"/>
      <c r="Q28" s="205"/>
      <c r="S28" s="11"/>
    </row>
    <row r="29" spans="3:19" s="21" customFormat="1" ht="15" customHeight="1">
      <c r="C29" s="170" t="str">
        <f t="shared" ref="C29" si="17">CHOOSE(WEEKDAY(D29),"Sunday","Monday","Tuesday","Wednesday","Thursday","Friday","Saturday")</f>
        <v>Sunday</v>
      </c>
      <c r="D29" s="211">
        <f t="shared" ref="D29" si="18">D27+1</f>
        <v>44388</v>
      </c>
      <c r="E29" s="119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119">
        <f>IFERROR(IF(E29=0,0,IF('OT Form'!G29="Yes",Sheet2!C24,0)),"")</f>
        <v>0</v>
      </c>
      <c r="G29" s="118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64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20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3"/>
      <c r="K29" s="204"/>
      <c r="L29" s="204"/>
      <c r="M29" s="204"/>
      <c r="N29" s="204"/>
      <c r="O29" s="204"/>
      <c r="P29" s="204"/>
      <c r="Q29" s="205"/>
      <c r="S29" s="11"/>
    </row>
    <row r="30" spans="3:19" s="21" customFormat="1" ht="15" customHeight="1">
      <c r="C30" s="171"/>
      <c r="D30" s="212"/>
      <c r="E30" s="119">
        <f>IFERROR(IF(G30="Yes",Sheet2!B25,0),"")</f>
        <v>0</v>
      </c>
      <c r="F30" s="119">
        <f>IFERROR(IF('OT Form'!G30="Yes",Sheet2!C25,0),"")</f>
        <v>0</v>
      </c>
      <c r="G30" s="118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65"/>
      <c r="I30" s="221"/>
      <c r="J30" s="203"/>
      <c r="K30" s="204"/>
      <c r="L30" s="204"/>
      <c r="M30" s="204"/>
      <c r="N30" s="204"/>
      <c r="O30" s="204"/>
      <c r="P30" s="204"/>
      <c r="Q30" s="205"/>
      <c r="S30" s="11"/>
    </row>
    <row r="31" spans="3:19" s="21" customFormat="1" ht="15" customHeight="1">
      <c r="C31" s="162" t="str">
        <f t="shared" ref="C31" si="19">CHOOSE(WEEKDAY(D31),"Sunday","Monday","Tuesday","Wednesday","Thursday","Friday","Saturday")</f>
        <v>Monday</v>
      </c>
      <c r="D31" s="192">
        <f t="shared" ref="D31" si="20">D29+1</f>
        <v>44389</v>
      </c>
      <c r="E31" s="72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2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3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199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6"/>
      <c r="K31" s="207"/>
      <c r="L31" s="207"/>
      <c r="M31" s="207"/>
      <c r="N31" s="207"/>
      <c r="O31" s="207"/>
      <c r="P31" s="207"/>
      <c r="Q31" s="208"/>
      <c r="S31" s="11"/>
    </row>
    <row r="32" spans="3:19" s="21" customFormat="1" ht="15" customHeight="1">
      <c r="C32" s="163"/>
      <c r="D32" s="193"/>
      <c r="E32" s="72">
        <f>IFERROR(IF(G32="Yes",Sheet2!B27,0),"")</f>
        <v>0</v>
      </c>
      <c r="F32" s="72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37"/>
      <c r="I32" s="200"/>
      <c r="J32" s="206"/>
      <c r="K32" s="207"/>
      <c r="L32" s="207"/>
      <c r="M32" s="207"/>
      <c r="N32" s="207"/>
      <c r="O32" s="207"/>
      <c r="P32" s="207"/>
      <c r="Q32" s="208"/>
      <c r="S32" s="11"/>
    </row>
    <row r="33" spans="3:19" s="21" customFormat="1" ht="15" customHeight="1">
      <c r="C33" s="162" t="str">
        <f t="shared" ref="C33" si="21">CHOOSE(WEEKDAY(D33),"Sunday","Monday","Tuesday","Wednesday","Thursday","Friday","Saturday")</f>
        <v>Tuesday</v>
      </c>
      <c r="D33" s="192">
        <f t="shared" ref="D33" si="22">D31+1</f>
        <v>44390</v>
      </c>
      <c r="E33" s="72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2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3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199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06"/>
      <c r="K33" s="207"/>
      <c r="L33" s="207"/>
      <c r="M33" s="207"/>
      <c r="N33" s="207"/>
      <c r="O33" s="207"/>
      <c r="P33" s="207"/>
      <c r="Q33" s="208"/>
      <c r="S33" s="11"/>
    </row>
    <row r="34" spans="3:19" s="21" customFormat="1" ht="15" customHeight="1">
      <c r="C34" s="163"/>
      <c r="D34" s="193"/>
      <c r="E34" s="72">
        <f>IFERROR(IF(G34="Yes",Sheet2!B29,0),"")</f>
        <v>0</v>
      </c>
      <c r="F34" s="72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37"/>
      <c r="I34" s="200"/>
      <c r="J34" s="206"/>
      <c r="K34" s="207"/>
      <c r="L34" s="207"/>
      <c r="M34" s="207"/>
      <c r="N34" s="207"/>
      <c r="O34" s="207"/>
      <c r="P34" s="207"/>
      <c r="Q34" s="208"/>
      <c r="S34" s="11"/>
    </row>
    <row r="35" spans="3:19" s="21" customFormat="1" ht="15" customHeight="1">
      <c r="C35" s="162" t="str">
        <f t="shared" ref="C35" si="23">CHOOSE(WEEKDAY(D35),"Sunday","Monday","Tuesday","Wednesday","Thursday","Friday","Saturday")</f>
        <v>Wednesday</v>
      </c>
      <c r="D35" s="192">
        <f t="shared" ref="D35" si="24">D33+1</f>
        <v>44391</v>
      </c>
      <c r="E35" s="72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2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36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199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06"/>
      <c r="K35" s="207"/>
      <c r="L35" s="207"/>
      <c r="M35" s="207"/>
      <c r="N35" s="207"/>
      <c r="O35" s="207"/>
      <c r="P35" s="207"/>
      <c r="Q35" s="208"/>
      <c r="S35" s="11"/>
    </row>
    <row r="36" spans="3:19" s="21" customFormat="1" ht="15" customHeight="1">
      <c r="C36" s="163"/>
      <c r="D36" s="193"/>
      <c r="E36" s="72">
        <f>IFERROR(IF(G36="Yes",Sheet2!B31,0),"")</f>
        <v>0</v>
      </c>
      <c r="F36" s="72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37"/>
      <c r="I36" s="200"/>
      <c r="J36" s="206"/>
      <c r="K36" s="207"/>
      <c r="L36" s="207"/>
      <c r="M36" s="207"/>
      <c r="N36" s="207"/>
      <c r="O36" s="207"/>
      <c r="P36" s="207"/>
      <c r="Q36" s="208"/>
      <c r="S36" s="11"/>
    </row>
    <row r="37" spans="3:19" s="21" customFormat="1" ht="15" customHeight="1">
      <c r="C37" s="162" t="str">
        <f t="shared" ref="C37" si="25">CHOOSE(WEEKDAY(D37),"Sunday","Monday","Tuesday","Wednesday","Thursday","Friday","Saturday")</f>
        <v>Thursday</v>
      </c>
      <c r="D37" s="192">
        <f t="shared" ref="D37" si="26">D35+1</f>
        <v>44392</v>
      </c>
      <c r="E37" s="72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2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36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199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6"/>
      <c r="K37" s="207"/>
      <c r="L37" s="207"/>
      <c r="M37" s="207"/>
      <c r="N37" s="207"/>
      <c r="O37" s="207"/>
      <c r="P37" s="207"/>
      <c r="Q37" s="208"/>
      <c r="S37" s="11"/>
    </row>
    <row r="38" spans="3:19" s="21" customFormat="1" ht="15" customHeight="1">
      <c r="C38" s="163"/>
      <c r="D38" s="193"/>
      <c r="E38" s="72">
        <f>IFERROR(IF(G38="Yes",Sheet2!B33,0),"")</f>
        <v>0</v>
      </c>
      <c r="F38" s="72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37"/>
      <c r="I38" s="200"/>
      <c r="J38" s="206"/>
      <c r="K38" s="207"/>
      <c r="L38" s="207"/>
      <c r="M38" s="207"/>
      <c r="N38" s="207"/>
      <c r="O38" s="207"/>
      <c r="P38" s="207"/>
      <c r="Q38" s="208"/>
      <c r="S38" s="11"/>
    </row>
    <row r="39" spans="3:19" s="21" customFormat="1" ht="15" customHeight="1">
      <c r="C39" s="162" t="str">
        <f t="shared" ref="C39" si="27">CHOOSE(WEEKDAY(D39),"Sunday","Monday","Tuesday","Wednesday","Thursday","Friday","Saturday")</f>
        <v>Friday</v>
      </c>
      <c r="D39" s="192">
        <f t="shared" ref="D39" si="28">D37+1</f>
        <v>44393</v>
      </c>
      <c r="E39" s="72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2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36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199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6"/>
      <c r="K39" s="207"/>
      <c r="L39" s="207"/>
      <c r="M39" s="207"/>
      <c r="N39" s="207"/>
      <c r="O39" s="207"/>
      <c r="P39" s="207"/>
      <c r="Q39" s="208"/>
      <c r="S39" s="11"/>
    </row>
    <row r="40" spans="3:19" s="21" customFormat="1" ht="15" customHeight="1">
      <c r="C40" s="163"/>
      <c r="D40" s="193"/>
      <c r="E40" s="72">
        <f>IFERROR(IF(G40="Yes",Sheet2!B35,0),"")</f>
        <v>0</v>
      </c>
      <c r="F40" s="72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37"/>
      <c r="I40" s="200"/>
      <c r="J40" s="206"/>
      <c r="K40" s="207"/>
      <c r="L40" s="207"/>
      <c r="M40" s="207"/>
      <c r="N40" s="207"/>
      <c r="O40" s="207"/>
      <c r="P40" s="207"/>
      <c r="Q40" s="208"/>
      <c r="S40" s="11"/>
    </row>
    <row r="41" spans="3:19" s="21" customFormat="1" ht="15" customHeight="1">
      <c r="C41" s="170" t="str">
        <f t="shared" ref="C41" si="29">CHOOSE(WEEKDAY(D41),"Sunday","Monday","Tuesday","Wednesday","Thursday","Friday","Saturday")</f>
        <v>Saturday</v>
      </c>
      <c r="D41" s="211">
        <f t="shared" ref="D41" si="30">D39+1</f>
        <v>44394</v>
      </c>
      <c r="E41" s="119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19">
        <f>IFERROR(IF(E41=0,0,IF('OT Form'!G41="Yes",Sheet2!C36,0)),"")</f>
        <v>0</v>
      </c>
      <c r="G41" s="118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64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20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3"/>
      <c r="K41" s="204"/>
      <c r="L41" s="204"/>
      <c r="M41" s="204"/>
      <c r="N41" s="204"/>
      <c r="O41" s="204"/>
      <c r="P41" s="204"/>
      <c r="Q41" s="205"/>
      <c r="S41" s="11"/>
    </row>
    <row r="42" spans="3:19" s="21" customFormat="1" ht="15" customHeight="1">
      <c r="C42" s="171"/>
      <c r="D42" s="212"/>
      <c r="E42" s="119">
        <f>IFERROR(IF(G42="Yes",Sheet2!B37,0),"")</f>
        <v>0</v>
      </c>
      <c r="F42" s="119">
        <f>IFERROR(IF('OT Form'!G42="Yes",Sheet2!C37,0),"")</f>
        <v>0</v>
      </c>
      <c r="G42" s="118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65"/>
      <c r="I42" s="221"/>
      <c r="J42" s="203"/>
      <c r="K42" s="204"/>
      <c r="L42" s="204"/>
      <c r="M42" s="204"/>
      <c r="N42" s="204"/>
      <c r="O42" s="204"/>
      <c r="P42" s="204"/>
      <c r="Q42" s="205"/>
      <c r="S42" s="11"/>
    </row>
    <row r="43" spans="3:19" s="21" customFormat="1" ht="15" customHeight="1">
      <c r="C43" s="170" t="str">
        <f t="shared" ref="C43" si="31">CHOOSE(WEEKDAY(D43),"Sunday","Monday","Tuesday","Wednesday","Thursday","Friday","Saturday")</f>
        <v>Sunday</v>
      </c>
      <c r="D43" s="211">
        <f t="shared" ref="D43" si="32">D41+1</f>
        <v>44395</v>
      </c>
      <c r="E43" s="119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119">
        <f>IFERROR(IF(E43=0,0,IF('OT Form'!G43="Yes",Sheet2!C38,0)),"")</f>
        <v>0</v>
      </c>
      <c r="G43" s="118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64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20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3"/>
      <c r="K43" s="204"/>
      <c r="L43" s="204"/>
      <c r="M43" s="204"/>
      <c r="N43" s="204"/>
      <c r="O43" s="204"/>
      <c r="P43" s="204"/>
      <c r="Q43" s="205"/>
      <c r="S43" s="11"/>
    </row>
    <row r="44" spans="3:19" s="21" customFormat="1" ht="15" customHeight="1">
      <c r="C44" s="171"/>
      <c r="D44" s="212"/>
      <c r="E44" s="119">
        <f>IFERROR(IF(G44="Yes",Sheet2!B39,0),"")</f>
        <v>0</v>
      </c>
      <c r="F44" s="119">
        <f>IFERROR(IF('OT Form'!G44="Yes",Sheet2!C39,0),"")</f>
        <v>0</v>
      </c>
      <c r="G44" s="118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65"/>
      <c r="I44" s="221"/>
      <c r="J44" s="203"/>
      <c r="K44" s="204"/>
      <c r="L44" s="204"/>
      <c r="M44" s="204"/>
      <c r="N44" s="204"/>
      <c r="O44" s="204"/>
      <c r="P44" s="204"/>
      <c r="Q44" s="205"/>
      <c r="S44" s="11"/>
    </row>
    <row r="45" spans="3:19" s="21" customFormat="1" ht="15" customHeight="1">
      <c r="C45" s="162" t="str">
        <f t="shared" ref="C45" si="33">CHOOSE(WEEKDAY(D45),"Sunday","Monday","Tuesday","Wednesday","Thursday","Friday","Saturday")</f>
        <v>Monday</v>
      </c>
      <c r="D45" s="192">
        <f t="shared" ref="D45" si="34">D43+1</f>
        <v>44396</v>
      </c>
      <c r="E45" s="72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2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36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199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6"/>
      <c r="K45" s="207"/>
      <c r="L45" s="207"/>
      <c r="M45" s="207"/>
      <c r="N45" s="207"/>
      <c r="O45" s="207"/>
      <c r="P45" s="207"/>
      <c r="Q45" s="208"/>
      <c r="S45" s="11"/>
    </row>
    <row r="46" spans="3:19" s="21" customFormat="1" ht="15" customHeight="1">
      <c r="C46" s="163"/>
      <c r="D46" s="193"/>
      <c r="E46" s="72">
        <f>IFERROR(IF(G46="Yes",Sheet2!B41,0),"")</f>
        <v>0</v>
      </c>
      <c r="F46" s="72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37"/>
      <c r="I46" s="200"/>
      <c r="J46" s="206"/>
      <c r="K46" s="207"/>
      <c r="L46" s="207"/>
      <c r="M46" s="207"/>
      <c r="N46" s="207"/>
      <c r="O46" s="207"/>
      <c r="P46" s="207"/>
      <c r="Q46" s="208"/>
      <c r="S46" s="11"/>
    </row>
    <row r="47" spans="3:19" s="21" customFormat="1" ht="15" customHeight="1">
      <c r="C47" s="170" t="str">
        <f t="shared" ref="C47" si="35">CHOOSE(WEEKDAY(D47),"Sunday","Monday","Tuesday","Wednesday","Thursday","Friday","Saturday")</f>
        <v>Tuesday</v>
      </c>
      <c r="D47" s="211">
        <f t="shared" ref="D47" si="36">D45+1</f>
        <v>44397</v>
      </c>
      <c r="E47" s="119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19">
        <f>IFERROR(IF(E47=0,0,IF('OT Form'!G47="Yes",Sheet2!C42,0)),"")</f>
        <v>0</v>
      </c>
      <c r="G47" s="118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64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20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03"/>
      <c r="K47" s="204"/>
      <c r="L47" s="204"/>
      <c r="M47" s="204"/>
      <c r="N47" s="204"/>
      <c r="O47" s="204"/>
      <c r="P47" s="204"/>
      <c r="Q47" s="205"/>
      <c r="S47" s="11"/>
    </row>
    <row r="48" spans="3:19" s="21" customFormat="1" ht="15" customHeight="1">
      <c r="C48" s="171"/>
      <c r="D48" s="212"/>
      <c r="E48" s="119">
        <f>IFERROR(IF(G48="Yes",Sheet2!B43,0),"")</f>
        <v>0</v>
      </c>
      <c r="F48" s="119">
        <f>IFERROR(IF('OT Form'!G48="Yes",Sheet2!C43,0),"")</f>
        <v>0</v>
      </c>
      <c r="G48" s="118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65"/>
      <c r="I48" s="221"/>
      <c r="J48" s="203"/>
      <c r="K48" s="204"/>
      <c r="L48" s="204"/>
      <c r="M48" s="204"/>
      <c r="N48" s="204"/>
      <c r="O48" s="204"/>
      <c r="P48" s="204"/>
      <c r="Q48" s="205"/>
      <c r="S48" s="11"/>
    </row>
    <row r="49" spans="3:19" s="21" customFormat="1" ht="15" customHeight="1">
      <c r="C49" s="162" t="str">
        <f t="shared" ref="C49" si="37">CHOOSE(WEEKDAY(D49),"Sunday","Monday","Tuesday","Wednesday","Thursday","Friday","Saturday")</f>
        <v>Wednesday</v>
      </c>
      <c r="D49" s="192">
        <f t="shared" ref="D49" si="38">D47+1</f>
        <v>44398</v>
      </c>
      <c r="E49" s="72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2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36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199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06"/>
      <c r="K49" s="207"/>
      <c r="L49" s="207"/>
      <c r="M49" s="207"/>
      <c r="N49" s="207"/>
      <c r="O49" s="207"/>
      <c r="P49" s="207"/>
      <c r="Q49" s="208"/>
      <c r="S49" s="11"/>
    </row>
    <row r="50" spans="3:19" s="21" customFormat="1" ht="15" customHeight="1">
      <c r="C50" s="163"/>
      <c r="D50" s="193"/>
      <c r="E50" s="72">
        <f>IFERROR(IF(G50="Yes",Sheet2!B45,0),"")</f>
        <v>0</v>
      </c>
      <c r="F50" s="72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37"/>
      <c r="I50" s="200"/>
      <c r="J50" s="206"/>
      <c r="K50" s="207"/>
      <c r="L50" s="207"/>
      <c r="M50" s="207"/>
      <c r="N50" s="207"/>
      <c r="O50" s="207"/>
      <c r="P50" s="207"/>
      <c r="Q50" s="208"/>
      <c r="S50" s="11"/>
    </row>
    <row r="51" spans="3:19" s="21" customFormat="1" ht="15" customHeight="1">
      <c r="C51" s="162" t="str">
        <f t="shared" ref="C51" si="39">CHOOSE(WEEKDAY(D51),"Sunday","Monday","Tuesday","Wednesday","Thursday","Friday","Saturday")</f>
        <v>Thursday</v>
      </c>
      <c r="D51" s="192">
        <f t="shared" ref="D51" si="40">D49+1</f>
        <v>44399</v>
      </c>
      <c r="E51" s="72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2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36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199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6"/>
      <c r="K51" s="207"/>
      <c r="L51" s="207"/>
      <c r="M51" s="207"/>
      <c r="N51" s="207"/>
      <c r="O51" s="207"/>
      <c r="P51" s="207"/>
      <c r="Q51" s="208"/>
      <c r="S51" s="11"/>
    </row>
    <row r="52" spans="3:19" s="21" customFormat="1" ht="15" customHeight="1">
      <c r="C52" s="163"/>
      <c r="D52" s="193"/>
      <c r="E52" s="72">
        <f>IFERROR(IF(G52="Yes",Sheet2!B47,0),"")</f>
        <v>0</v>
      </c>
      <c r="F52" s="72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37"/>
      <c r="I52" s="200"/>
      <c r="J52" s="206"/>
      <c r="K52" s="207"/>
      <c r="L52" s="207"/>
      <c r="M52" s="207"/>
      <c r="N52" s="207"/>
      <c r="O52" s="207"/>
      <c r="P52" s="207"/>
      <c r="Q52" s="208"/>
      <c r="S52" s="11"/>
    </row>
    <row r="53" spans="3:19" s="21" customFormat="1" ht="15" customHeight="1">
      <c r="C53" s="162" t="str">
        <f t="shared" ref="C53" si="41">CHOOSE(WEEKDAY(D53),"Sunday","Monday","Tuesday","Wednesday","Thursday","Friday","Saturday")</f>
        <v>Friday</v>
      </c>
      <c r="D53" s="192">
        <f t="shared" ref="D53" si="42">D51+1</f>
        <v>44400</v>
      </c>
      <c r="E53" s="72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2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36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199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6"/>
      <c r="K53" s="207"/>
      <c r="L53" s="207"/>
      <c r="M53" s="207"/>
      <c r="N53" s="207"/>
      <c r="O53" s="207"/>
      <c r="P53" s="207"/>
      <c r="Q53" s="208"/>
      <c r="S53" s="11"/>
    </row>
    <row r="54" spans="3:19" s="21" customFormat="1" ht="15" customHeight="1">
      <c r="C54" s="163"/>
      <c r="D54" s="193"/>
      <c r="E54" s="72">
        <f>IFERROR(IF(G54="Yes",Sheet2!B49,0),"")</f>
        <v>0</v>
      </c>
      <c r="F54" s="72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37"/>
      <c r="I54" s="200"/>
      <c r="J54" s="206"/>
      <c r="K54" s="207"/>
      <c r="L54" s="207"/>
      <c r="M54" s="207"/>
      <c r="N54" s="207"/>
      <c r="O54" s="207"/>
      <c r="P54" s="207"/>
      <c r="Q54" s="208"/>
      <c r="S54" s="11"/>
    </row>
    <row r="55" spans="3:19" s="21" customFormat="1" ht="15" customHeight="1">
      <c r="C55" s="170" t="str">
        <f t="shared" ref="C55" si="43">CHOOSE(WEEKDAY(D55),"Sunday","Monday","Tuesday","Wednesday","Thursday","Friday","Saturday")</f>
        <v>Saturday</v>
      </c>
      <c r="D55" s="211">
        <f t="shared" ref="D55" si="44">D53+1</f>
        <v>44401</v>
      </c>
      <c r="E55" s="119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119">
        <f>IFERROR(IF(E55=0,0,IF('OT Form'!G55="Yes",Sheet2!C50,0)),"")</f>
        <v>0</v>
      </c>
      <c r="G55" s="118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64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20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3"/>
      <c r="K55" s="204"/>
      <c r="L55" s="204"/>
      <c r="M55" s="204"/>
      <c r="N55" s="204"/>
      <c r="O55" s="204"/>
      <c r="P55" s="204"/>
      <c r="Q55" s="205"/>
      <c r="S55" s="11"/>
    </row>
    <row r="56" spans="3:19" s="21" customFormat="1" ht="15" customHeight="1">
      <c r="C56" s="171"/>
      <c r="D56" s="212"/>
      <c r="E56" s="119">
        <f>IFERROR(IF(G56="Yes",Sheet2!B51,0),"")</f>
        <v>0</v>
      </c>
      <c r="F56" s="119">
        <f>IFERROR(IF('OT Form'!G56="Yes",Sheet2!C51,0),"")</f>
        <v>0</v>
      </c>
      <c r="G56" s="118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65"/>
      <c r="I56" s="221"/>
      <c r="J56" s="203"/>
      <c r="K56" s="204"/>
      <c r="L56" s="204"/>
      <c r="M56" s="204"/>
      <c r="N56" s="204"/>
      <c r="O56" s="204"/>
      <c r="P56" s="204"/>
      <c r="Q56" s="205"/>
      <c r="S56" s="11"/>
    </row>
    <row r="57" spans="3:19" s="21" customFormat="1" ht="15" customHeight="1">
      <c r="C57" s="170" t="str">
        <f t="shared" ref="C57" si="45">CHOOSE(WEEKDAY(D57),"Sunday","Monday","Tuesday","Wednesday","Thursday","Friday","Saturday")</f>
        <v>Sunday</v>
      </c>
      <c r="D57" s="211">
        <f t="shared" ref="D57" si="46">D55+1</f>
        <v>44402</v>
      </c>
      <c r="E57" s="119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119">
        <f>IFERROR(IF(E57=0,0,IF('OT Form'!G57="Yes",Sheet2!C52,0)),"")</f>
        <v>0</v>
      </c>
      <c r="G57" s="118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64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20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3"/>
      <c r="K57" s="204"/>
      <c r="L57" s="204"/>
      <c r="M57" s="204"/>
      <c r="N57" s="204"/>
      <c r="O57" s="204"/>
      <c r="P57" s="204"/>
      <c r="Q57" s="205"/>
      <c r="S57" s="11"/>
    </row>
    <row r="58" spans="3:19" s="21" customFormat="1" ht="15" customHeight="1">
      <c r="C58" s="171"/>
      <c r="D58" s="212"/>
      <c r="E58" s="119">
        <f>IFERROR(IF(G58="Yes",Sheet2!B53,0),"")</f>
        <v>0</v>
      </c>
      <c r="F58" s="119">
        <f>IFERROR(IF('OT Form'!G58="Yes",Sheet2!C53,0),"")</f>
        <v>0</v>
      </c>
      <c r="G58" s="118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65"/>
      <c r="I58" s="221"/>
      <c r="J58" s="203"/>
      <c r="K58" s="204"/>
      <c r="L58" s="204"/>
      <c r="M58" s="204"/>
      <c r="N58" s="204"/>
      <c r="O58" s="204"/>
      <c r="P58" s="204"/>
      <c r="Q58" s="205"/>
      <c r="S58" s="11"/>
    </row>
    <row r="59" spans="3:19" s="21" customFormat="1" ht="15" customHeight="1">
      <c r="C59" s="162" t="str">
        <f t="shared" ref="C59" si="47">CHOOSE(WEEKDAY(D59),"Sunday","Monday","Tuesday","Wednesday","Thursday","Friday","Saturday")</f>
        <v>Monday</v>
      </c>
      <c r="D59" s="192">
        <f t="shared" ref="D59" si="48">D57+1</f>
        <v>44403</v>
      </c>
      <c r="E59" s="72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2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3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199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6"/>
      <c r="K59" s="207"/>
      <c r="L59" s="207"/>
      <c r="M59" s="207"/>
      <c r="N59" s="207"/>
      <c r="O59" s="207"/>
      <c r="P59" s="207"/>
      <c r="Q59" s="208"/>
      <c r="S59" s="11"/>
    </row>
    <row r="60" spans="3:19" s="21" customFormat="1" ht="15" customHeight="1">
      <c r="C60" s="163"/>
      <c r="D60" s="193"/>
      <c r="E60" s="72">
        <f>IFERROR(IF(G60="Yes",Sheet2!B55,0),"")</f>
        <v>0</v>
      </c>
      <c r="F60" s="72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37"/>
      <c r="I60" s="200"/>
      <c r="J60" s="206"/>
      <c r="K60" s="207"/>
      <c r="L60" s="207"/>
      <c r="M60" s="207"/>
      <c r="N60" s="207"/>
      <c r="O60" s="207"/>
      <c r="P60" s="207"/>
      <c r="Q60" s="208"/>
      <c r="S60" s="11"/>
    </row>
    <row r="61" spans="3:19" s="21" customFormat="1" ht="15" customHeight="1">
      <c r="C61" s="162" t="str">
        <f t="shared" ref="C61" si="49">CHOOSE(WEEKDAY(D61),"Sunday","Monday","Tuesday","Wednesday","Thursday","Friday","Saturday")</f>
        <v>Tuesday</v>
      </c>
      <c r="D61" s="192">
        <f t="shared" ref="D61" si="50">D59+1</f>
        <v>44404</v>
      </c>
      <c r="E61" s="72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2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3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199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06"/>
      <c r="K61" s="207"/>
      <c r="L61" s="207"/>
      <c r="M61" s="207"/>
      <c r="N61" s="207"/>
      <c r="O61" s="207"/>
      <c r="P61" s="207"/>
      <c r="Q61" s="208"/>
      <c r="S61" s="11"/>
    </row>
    <row r="62" spans="3:19" s="21" customFormat="1" ht="15" customHeight="1">
      <c r="C62" s="163"/>
      <c r="D62" s="193"/>
      <c r="E62" s="72">
        <f>IFERROR(IF(G62="Yes",Sheet2!B57,0),"")</f>
        <v>0</v>
      </c>
      <c r="F62" s="72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37"/>
      <c r="I62" s="200"/>
      <c r="J62" s="206"/>
      <c r="K62" s="207"/>
      <c r="L62" s="207"/>
      <c r="M62" s="207"/>
      <c r="N62" s="207"/>
      <c r="O62" s="207"/>
      <c r="P62" s="207"/>
      <c r="Q62" s="208"/>
      <c r="S62" s="11"/>
    </row>
    <row r="63" spans="3:19" s="21" customFormat="1" ht="15" customHeight="1">
      <c r="C63" s="162" t="str">
        <f t="shared" ref="C63" si="51">CHOOSE(WEEKDAY(D63),"Sunday","Monday","Tuesday","Wednesday","Thursday","Friday","Saturday")</f>
        <v>Wednesday</v>
      </c>
      <c r="D63" s="192">
        <f t="shared" ref="D63" si="52">D61+1</f>
        <v>44405</v>
      </c>
      <c r="E63" s="72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2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36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199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06"/>
      <c r="K63" s="207"/>
      <c r="L63" s="207"/>
      <c r="M63" s="207"/>
      <c r="N63" s="207"/>
      <c r="O63" s="207"/>
      <c r="P63" s="207"/>
      <c r="Q63" s="208"/>
      <c r="S63" s="11"/>
    </row>
    <row r="64" spans="3:19" s="21" customFormat="1" ht="15" customHeight="1">
      <c r="C64" s="163"/>
      <c r="D64" s="193"/>
      <c r="E64" s="72">
        <f>IFERROR(IF(G64="Yes",Sheet2!B59,0),"")</f>
        <v>0</v>
      </c>
      <c r="F64" s="72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37"/>
      <c r="I64" s="200"/>
      <c r="J64" s="206"/>
      <c r="K64" s="207"/>
      <c r="L64" s="207"/>
      <c r="M64" s="207"/>
      <c r="N64" s="207"/>
      <c r="O64" s="207"/>
      <c r="P64" s="207"/>
      <c r="Q64" s="208"/>
      <c r="S64" s="11"/>
    </row>
    <row r="65" spans="2:24" s="21" customFormat="1" ht="15" customHeight="1">
      <c r="C65" s="162" t="str">
        <f t="shared" ref="C65" si="53">CHOOSE(WEEKDAY(D65),"Sunday","Monday","Tuesday","Wednesday","Thursday","Friday","Saturday")</f>
        <v>Thursday</v>
      </c>
      <c r="D65" s="192">
        <f t="shared" ref="D65:D69" si="54">D63+1</f>
        <v>44406</v>
      </c>
      <c r="E65" s="72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2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36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199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6"/>
      <c r="K65" s="207"/>
      <c r="L65" s="207"/>
      <c r="M65" s="207"/>
      <c r="N65" s="207"/>
      <c r="O65" s="207"/>
      <c r="P65" s="207"/>
      <c r="Q65" s="208"/>
      <c r="S65" s="11"/>
    </row>
    <row r="66" spans="2:24" s="21" customFormat="1" ht="15" customHeight="1">
      <c r="C66" s="163"/>
      <c r="D66" s="193"/>
      <c r="E66" s="72">
        <f>IFERROR(IF(G66="Yes",Sheet2!B61,0),"")</f>
        <v>0</v>
      </c>
      <c r="F66" s="72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37"/>
      <c r="I66" s="200"/>
      <c r="J66" s="206"/>
      <c r="K66" s="207"/>
      <c r="L66" s="207"/>
      <c r="M66" s="207"/>
      <c r="N66" s="207"/>
      <c r="O66" s="207"/>
      <c r="P66" s="207"/>
      <c r="Q66" s="208"/>
      <c r="S66" s="11"/>
    </row>
    <row r="67" spans="2:24" s="21" customFormat="1" ht="15" customHeight="1">
      <c r="C67" s="162" t="str">
        <f t="shared" ref="C67" si="55">CHOOSE(WEEKDAY(D67),"Sunday","Monday","Tuesday","Wednesday","Thursday","Friday","Saturday")</f>
        <v>Friday</v>
      </c>
      <c r="D67" s="192">
        <f t="shared" si="54"/>
        <v>44407</v>
      </c>
      <c r="E67" s="72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2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36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199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6"/>
      <c r="K67" s="207"/>
      <c r="L67" s="207"/>
      <c r="M67" s="207"/>
      <c r="N67" s="207"/>
      <c r="O67" s="207"/>
      <c r="P67" s="207"/>
      <c r="Q67" s="208"/>
      <c r="S67" s="11"/>
    </row>
    <row r="68" spans="2:24" s="21" customFormat="1" ht="15" customHeight="1">
      <c r="C68" s="163"/>
      <c r="D68" s="193"/>
      <c r="E68" s="72">
        <f>IFERROR(IF(G68="Yes",Sheet2!B63,0),"")</f>
        <v>0</v>
      </c>
      <c r="F68" s="72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37"/>
      <c r="I68" s="200"/>
      <c r="J68" s="206"/>
      <c r="K68" s="207"/>
      <c r="L68" s="207"/>
      <c r="M68" s="207"/>
      <c r="N68" s="207"/>
      <c r="O68" s="207"/>
      <c r="P68" s="207"/>
      <c r="Q68" s="208"/>
      <c r="S68" s="11"/>
    </row>
    <row r="69" spans="2:24" s="21" customFormat="1" ht="15.75">
      <c r="C69" s="170" t="str">
        <f t="shared" ref="C69" si="56">CHOOSE(WEEKDAY(D69),"Sunday","Monday","Tuesday","Wednesday","Thursday","Friday","Saturday")</f>
        <v>Saturday</v>
      </c>
      <c r="D69" s="211">
        <f t="shared" si="54"/>
        <v>44408</v>
      </c>
      <c r="E69" s="119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119">
        <f>IFERROR(IF(E69=0,0,IF('OT Form'!G69="Yes",Sheet2!C64,0)),"")</f>
        <v>0</v>
      </c>
      <c r="G69" s="118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64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20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3"/>
      <c r="K69" s="204"/>
      <c r="L69" s="204"/>
      <c r="M69" s="204"/>
      <c r="N69" s="204"/>
      <c r="O69" s="204"/>
      <c r="P69" s="204"/>
      <c r="Q69" s="205"/>
      <c r="S69" s="11"/>
    </row>
    <row r="70" spans="2:24" s="21" customFormat="1" ht="15" customHeight="1">
      <c r="C70" s="171"/>
      <c r="D70" s="212"/>
      <c r="E70" s="119">
        <f>IFERROR(IF(G70="Yes",Sheet2!B65,0),"")</f>
        <v>0</v>
      </c>
      <c r="F70" s="119">
        <f>IFERROR(IF('OT Form'!G70="Yes",Sheet2!C65,0),"")</f>
        <v>0</v>
      </c>
      <c r="G70" s="118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65"/>
      <c r="I70" s="221"/>
      <c r="J70" s="203"/>
      <c r="K70" s="204"/>
      <c r="L70" s="204"/>
      <c r="M70" s="204"/>
      <c r="N70" s="204"/>
      <c r="O70" s="204"/>
      <c r="P70" s="204"/>
      <c r="Q70" s="205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01" t="s">
        <v>149</v>
      </c>
      <c r="F74" s="202"/>
      <c r="G74" s="201" t="s">
        <v>150</v>
      </c>
      <c r="H74" s="202"/>
      <c r="I74" s="201" t="s">
        <v>151</v>
      </c>
      <c r="J74" s="202"/>
      <c r="K74" s="201" t="s">
        <v>152</v>
      </c>
      <c r="L74" s="202"/>
      <c r="N74" s="10"/>
      <c r="O74" s="10"/>
      <c r="P74" s="10"/>
      <c r="Q74" s="10"/>
    </row>
    <row r="75" spans="2:24" s="21" customFormat="1" ht="15" customHeight="1">
      <c r="B75" s="18"/>
      <c r="E75" s="213">
        <f>SUM(H9:H70)</f>
        <v>0</v>
      </c>
      <c r="F75" s="214"/>
      <c r="G75" s="213">
        <f>COUNTIF(H9:H70,"&gt;0")</f>
        <v>0</v>
      </c>
      <c r="H75" s="214"/>
      <c r="I75" s="213">
        <f>SUM(I9:I70)</f>
        <v>0</v>
      </c>
      <c r="J75" s="214"/>
      <c r="K75" s="213">
        <f>COUNTIF(I9:I70,"&gt;0")</f>
        <v>0</v>
      </c>
      <c r="L75" s="214"/>
      <c r="N75" s="10"/>
      <c r="O75" s="10"/>
      <c r="P75" s="10"/>
      <c r="Q75" s="10"/>
    </row>
    <row r="76" spans="2:24" s="21" customFormat="1" ht="15" customHeight="1">
      <c r="B76" s="18"/>
      <c r="E76" s="215"/>
      <c r="F76" s="216"/>
      <c r="G76" s="215"/>
      <c r="H76" s="216"/>
      <c r="I76" s="215"/>
      <c r="J76" s="216"/>
      <c r="K76" s="215"/>
      <c r="L76" s="216"/>
      <c r="N76" s="10"/>
      <c r="O76" s="10"/>
      <c r="P76" s="10"/>
      <c r="Q76" s="10"/>
    </row>
    <row r="77" spans="2:24" s="21" customFormat="1" ht="15" customHeight="1">
      <c r="B77" s="18"/>
      <c r="E77" s="217"/>
      <c r="F77" s="218"/>
      <c r="G77" s="217"/>
      <c r="H77" s="218"/>
      <c r="I77" s="217"/>
      <c r="J77" s="218"/>
      <c r="K77" s="217"/>
      <c r="L77" s="218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94" t="s">
        <v>1</v>
      </c>
      <c r="C81" s="194"/>
      <c r="D81" s="194" t="s">
        <v>11</v>
      </c>
      <c r="E81" s="194"/>
      <c r="F81" s="194"/>
      <c r="G81" s="194" t="s">
        <v>139</v>
      </c>
      <c r="H81" s="194"/>
      <c r="I81" s="194" t="s">
        <v>11</v>
      </c>
      <c r="J81" s="194"/>
      <c r="K81" s="194"/>
      <c r="L81" s="194" t="s">
        <v>140</v>
      </c>
      <c r="M81" s="194"/>
      <c r="N81" s="194"/>
      <c r="O81" s="201" t="s">
        <v>11</v>
      </c>
      <c r="P81" s="222"/>
      <c r="Q81" s="222"/>
      <c r="R81" s="202"/>
      <c r="S81" s="62"/>
    </row>
    <row r="82" spans="2:20" ht="15" customHeight="1">
      <c r="B82" s="209">
        <f>F3</f>
        <v>0</v>
      </c>
      <c r="C82" s="209"/>
      <c r="D82" s="210"/>
      <c r="E82" s="210"/>
      <c r="F82" s="210"/>
      <c r="G82" s="149"/>
      <c r="H82" s="150"/>
      <c r="I82" s="219"/>
      <c r="J82" s="219"/>
      <c r="K82" s="219"/>
      <c r="L82" s="149"/>
      <c r="M82" s="150"/>
      <c r="N82" s="151"/>
      <c r="O82" s="140"/>
      <c r="P82" s="141"/>
      <c r="Q82" s="141"/>
      <c r="R82" s="142"/>
      <c r="S82" s="63"/>
    </row>
    <row r="83" spans="2:20" ht="15" customHeight="1">
      <c r="B83" s="209"/>
      <c r="C83" s="209"/>
      <c r="D83" s="210"/>
      <c r="E83" s="210"/>
      <c r="F83" s="210"/>
      <c r="G83" s="152"/>
      <c r="H83" s="153"/>
      <c r="I83" s="219"/>
      <c r="J83" s="219"/>
      <c r="K83" s="219"/>
      <c r="L83" s="152"/>
      <c r="M83" s="153"/>
      <c r="N83" s="154"/>
      <c r="O83" s="143"/>
      <c r="P83" s="144"/>
      <c r="Q83" s="144"/>
      <c r="R83" s="145"/>
      <c r="S83" s="63"/>
    </row>
    <row r="84" spans="2:20" ht="15" customHeight="1">
      <c r="B84" s="209"/>
      <c r="C84" s="209"/>
      <c r="D84" s="210"/>
      <c r="E84" s="210"/>
      <c r="F84" s="210"/>
      <c r="G84" s="152"/>
      <c r="H84" s="153"/>
      <c r="I84" s="219"/>
      <c r="J84" s="219"/>
      <c r="K84" s="219"/>
      <c r="L84" s="152"/>
      <c r="M84" s="153"/>
      <c r="N84" s="154"/>
      <c r="O84" s="143"/>
      <c r="P84" s="144"/>
      <c r="Q84" s="144"/>
      <c r="R84" s="145"/>
      <c r="S84" s="63"/>
    </row>
    <row r="85" spans="2:20" ht="15" customHeight="1">
      <c r="B85" s="209"/>
      <c r="C85" s="209"/>
      <c r="D85" s="210"/>
      <c r="E85" s="210"/>
      <c r="F85" s="210"/>
      <c r="G85" s="155"/>
      <c r="H85" s="156"/>
      <c r="I85" s="219"/>
      <c r="J85" s="219"/>
      <c r="K85" s="219"/>
      <c r="L85" s="155"/>
      <c r="M85" s="156"/>
      <c r="N85" s="157"/>
      <c r="O85" s="146"/>
      <c r="P85" s="147"/>
      <c r="Q85" s="147"/>
      <c r="R85" s="148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</mergeCells>
  <dataValidations count="1"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[1]List!#REF!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30">
        <f>C5*8</f>
        <v>744</v>
      </c>
      <c r="C5" s="230">
        <f>COUNT('Timesheet-Regular'!$F$11:$F$72)+COUNT('Timesheet-Regular'!$H$11:$H$72)+COUNT('Timesheet-Regular'!$I$11:$I$72)</f>
        <v>93</v>
      </c>
      <c r="D5" s="230">
        <f>SUM('Timesheet-Regular'!$F$11:$F$72)-SUM('Timesheet-Regular'!$H$11:$H$72)-SUM('Timesheet-Regular'!$I$11:$I$72)</f>
        <v>0</v>
      </c>
      <c r="E5" s="231">
        <f>$D$5/8</f>
        <v>0</v>
      </c>
      <c r="F5" s="231">
        <f>SUM('Timesheet-Regular'!$F$11:$F$72)+SUM('Timesheet-Regular'!$H$11:$H$72)+SUM('Timesheet-Regular'!$I$11:$I$72)-$B$5</f>
        <v>-744</v>
      </c>
      <c r="G5" s="231">
        <f>$F$5/8</f>
        <v>-93</v>
      </c>
      <c r="H5" s="231" t="e">
        <f>SUM('Timesheet-Regular'!#REF!)</f>
        <v>#REF!</v>
      </c>
      <c r="I5" s="231" t="e">
        <f>$H$5/8</f>
        <v>#REF!</v>
      </c>
      <c r="J5" s="231">
        <f>SUM('Timesheet-Regular'!$H$11:$H$72)</f>
        <v>0</v>
      </c>
      <c r="K5" s="231">
        <f>$J$5/8</f>
        <v>0</v>
      </c>
      <c r="L5" s="231">
        <f>SUM('Timesheet-Regular'!$I$11:$I$72)</f>
        <v>0</v>
      </c>
      <c r="M5" s="231">
        <f>$L$5/8</f>
        <v>0</v>
      </c>
    </row>
    <row r="6" spans="2:13">
      <c r="B6" s="230"/>
      <c r="C6" s="230"/>
      <c r="D6" s="230"/>
      <c r="E6" s="232"/>
      <c r="F6" s="232"/>
      <c r="G6" s="232"/>
      <c r="H6" s="232"/>
      <c r="I6" s="232"/>
      <c r="J6" s="232"/>
      <c r="K6" s="232"/>
      <c r="L6" s="232"/>
      <c r="M6" s="232"/>
    </row>
    <row r="7" spans="2:13">
      <c r="B7" s="230"/>
      <c r="C7" s="230"/>
      <c r="D7" s="230"/>
      <c r="E7" s="233"/>
      <c r="F7" s="233"/>
      <c r="G7" s="233"/>
      <c r="H7" s="233"/>
      <c r="I7" s="233"/>
      <c r="J7" s="233"/>
      <c r="K7" s="233"/>
      <c r="L7" s="233"/>
      <c r="M7" s="233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workbookViewId="0">
      <selection activeCell="H16" sqref="H16"/>
    </sheetView>
  </sheetViews>
  <sheetFormatPr defaultColWidth="9.140625" defaultRowHeight="15"/>
  <cols>
    <col min="1" max="1" width="25.28515625" style="93" bestFit="1" customWidth="1"/>
    <col min="2" max="2" width="25" style="93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1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3" t="s">
        <v>0</v>
      </c>
      <c r="C2" s="3" t="s">
        <v>65</v>
      </c>
      <c r="D2" s="3" t="s">
        <v>67</v>
      </c>
      <c r="F2" s="110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4" t="s">
        <v>181</v>
      </c>
      <c r="J3">
        <f>'Timesheet-Regular'!D6</f>
        <v>0</v>
      </c>
      <c r="K3" s="23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4" t="str">
        <f>IF('Timesheet-Regular'!$D$6="No","",'Timesheet-Regular'!G11)</f>
        <v/>
      </c>
    </row>
    <row r="4" spans="1:12">
      <c r="A4" s="100" t="s">
        <v>33</v>
      </c>
      <c r="B4" s="94" t="s">
        <v>33</v>
      </c>
      <c r="C4" s="6" t="s">
        <v>68</v>
      </c>
      <c r="D4" s="6" t="s">
        <v>70</v>
      </c>
      <c r="E4" s="106">
        <v>44197</v>
      </c>
      <c r="F4" s="112">
        <v>20</v>
      </c>
      <c r="G4" s="107" t="s">
        <v>43</v>
      </c>
      <c r="H4" s="7" t="s">
        <v>43</v>
      </c>
      <c r="I4" s="9">
        <v>44197</v>
      </c>
      <c r="K4" s="235"/>
      <c r="L4" s="234"/>
    </row>
    <row r="5" spans="1:12">
      <c r="A5" s="102" t="s">
        <v>34</v>
      </c>
      <c r="B5" s="94" t="s">
        <v>16</v>
      </c>
      <c r="C5" s="6" t="s">
        <v>69</v>
      </c>
      <c r="D5" s="6" t="s">
        <v>71</v>
      </c>
      <c r="E5" s="106">
        <v>44228</v>
      </c>
      <c r="F5" s="112">
        <v>19</v>
      </c>
      <c r="G5" s="107" t="s">
        <v>44</v>
      </c>
      <c r="H5" s="7" t="s">
        <v>44</v>
      </c>
      <c r="I5" s="9">
        <v>44239</v>
      </c>
      <c r="J5" t="str">
        <f>IF(J3="yes","Morning","")</f>
        <v/>
      </c>
      <c r="K5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4" t="str">
        <f>IF('Timesheet-Regular'!$D$6="No","",'Timesheet-Regular'!G13)</f>
        <v/>
      </c>
    </row>
    <row r="6" spans="1:12">
      <c r="A6" s="101" t="s">
        <v>18</v>
      </c>
      <c r="B6" s="94" t="s">
        <v>34</v>
      </c>
      <c r="C6" s="5"/>
      <c r="D6" s="6" t="s">
        <v>72</v>
      </c>
      <c r="E6" s="106">
        <v>44256</v>
      </c>
      <c r="F6" s="112">
        <v>22</v>
      </c>
      <c r="G6" s="107" t="s">
        <v>45</v>
      </c>
      <c r="H6" s="7" t="s">
        <v>45</v>
      </c>
      <c r="I6" s="9">
        <v>44266</v>
      </c>
      <c r="J6" t="str">
        <f>IF(J3="yes","Afternoon","")</f>
        <v/>
      </c>
      <c r="K6" s="235"/>
      <c r="L6" s="234"/>
    </row>
    <row r="7" spans="1:12">
      <c r="A7" s="100" t="s">
        <v>24</v>
      </c>
      <c r="B7" s="94" t="s">
        <v>136</v>
      </c>
      <c r="C7" s="5"/>
      <c r="D7" s="5"/>
      <c r="E7" s="106">
        <v>44287</v>
      </c>
      <c r="F7" s="112">
        <v>21</v>
      </c>
      <c r="G7" s="107" t="s">
        <v>130</v>
      </c>
      <c r="H7" s="7" t="s">
        <v>46</v>
      </c>
      <c r="I7" s="9">
        <v>44288</v>
      </c>
      <c r="J7" t="str">
        <f>IF(J3="yes","Night","")</f>
        <v/>
      </c>
      <c r="K7" s="235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34" t="str">
        <f>IF('Timesheet-Regular'!$D$6="No","",'Timesheet-Regular'!G15)</f>
        <v/>
      </c>
    </row>
    <row r="8" spans="1:12">
      <c r="A8" s="102" t="s">
        <v>80</v>
      </c>
      <c r="B8" s="94" t="s">
        <v>17</v>
      </c>
      <c r="C8" s="5"/>
      <c r="D8" s="5"/>
      <c r="E8" s="106">
        <v>44317</v>
      </c>
      <c r="F8" s="112">
        <v>18</v>
      </c>
      <c r="G8" s="107" t="s">
        <v>131</v>
      </c>
      <c r="H8" s="7" t="s">
        <v>47</v>
      </c>
      <c r="I8" s="9">
        <v>44329</v>
      </c>
      <c r="K8" s="235"/>
      <c r="L8" s="234"/>
    </row>
    <row r="9" spans="1:12">
      <c r="A9" s="102" t="s">
        <v>216</v>
      </c>
      <c r="B9" s="94" t="s">
        <v>210</v>
      </c>
      <c r="C9" s="5"/>
      <c r="D9" s="5"/>
      <c r="E9" s="106">
        <v>44348</v>
      </c>
      <c r="F9" s="112">
        <v>21</v>
      </c>
      <c r="G9" s="107" t="s">
        <v>48</v>
      </c>
      <c r="H9" s="7" t="s">
        <v>48</v>
      </c>
      <c r="I9" s="9">
        <v>44330</v>
      </c>
      <c r="K9" s="235" t="str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/>
      </c>
      <c r="L9" s="234" t="str">
        <f>IF('Timesheet-Regular'!$D$6="No","",'Timesheet-Regular'!G17)</f>
        <v/>
      </c>
    </row>
    <row r="10" spans="1:12">
      <c r="A10" s="100" t="s">
        <v>37</v>
      </c>
      <c r="B10" s="94" t="s">
        <v>32</v>
      </c>
      <c r="C10" s="5"/>
      <c r="D10" s="5"/>
      <c r="E10" s="106">
        <v>44378</v>
      </c>
      <c r="F10" s="112">
        <v>21</v>
      </c>
      <c r="G10" s="107" t="s">
        <v>87</v>
      </c>
      <c r="H10" s="107" t="s">
        <v>191</v>
      </c>
      <c r="I10" s="9">
        <v>44342</v>
      </c>
      <c r="K10" s="235"/>
      <c r="L10" s="234"/>
    </row>
    <row r="11" spans="1:12">
      <c r="A11" s="101" t="s">
        <v>205</v>
      </c>
      <c r="B11" s="94" t="s">
        <v>78</v>
      </c>
      <c r="C11" s="5"/>
      <c r="D11" s="5"/>
      <c r="E11" s="106">
        <v>44409</v>
      </c>
      <c r="F11" s="112">
        <v>19</v>
      </c>
      <c r="G11" s="107" t="s">
        <v>88</v>
      </c>
      <c r="I11" s="9">
        <v>44348</v>
      </c>
      <c r="K11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4" t="str">
        <f>IF('Timesheet-Regular'!$D$6="No","",'Timesheet-Regular'!G19)</f>
        <v/>
      </c>
    </row>
    <row r="12" spans="1:12">
      <c r="A12" s="100" t="s">
        <v>19</v>
      </c>
      <c r="B12" s="94" t="s">
        <v>24</v>
      </c>
      <c r="C12" s="5"/>
      <c r="D12" s="5"/>
      <c r="E12" s="106">
        <v>44440</v>
      </c>
      <c r="F12" s="112">
        <v>22</v>
      </c>
      <c r="G12" s="107" t="s">
        <v>50</v>
      </c>
      <c r="I12" s="9">
        <v>44397</v>
      </c>
      <c r="K12" s="235"/>
      <c r="L12" s="234"/>
    </row>
    <row r="13" spans="1:12">
      <c r="A13" s="101" t="s">
        <v>204</v>
      </c>
      <c r="B13" s="94" t="s">
        <v>216</v>
      </c>
      <c r="C13" s="5"/>
      <c r="D13" s="5"/>
      <c r="E13" s="106">
        <v>44470</v>
      </c>
      <c r="F13" s="112">
        <v>21</v>
      </c>
      <c r="G13" s="107" t="s">
        <v>49</v>
      </c>
      <c r="I13" s="9"/>
      <c r="K13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4" t="str">
        <f>IF('Timesheet-Regular'!$D$6="No","",'Timesheet-Regular'!G21)</f>
        <v/>
      </c>
    </row>
    <row r="14" spans="1:12">
      <c r="A14" s="101" t="s">
        <v>190</v>
      </c>
      <c r="B14" s="94" t="s">
        <v>18</v>
      </c>
      <c r="C14" s="5"/>
      <c r="D14" s="5"/>
      <c r="E14" s="106">
        <v>44501</v>
      </c>
      <c r="F14" s="112">
        <v>21</v>
      </c>
      <c r="G14" s="107" t="s">
        <v>191</v>
      </c>
      <c r="I14" s="9"/>
      <c r="K14" s="235"/>
      <c r="L14" s="234"/>
    </row>
    <row r="15" spans="1:12">
      <c r="A15" s="101" t="s">
        <v>196</v>
      </c>
      <c r="B15" s="94" t="s">
        <v>35</v>
      </c>
      <c r="C15" s="5"/>
      <c r="D15" s="5"/>
      <c r="E15" s="106">
        <v>44531</v>
      </c>
      <c r="F15" s="112">
        <v>22</v>
      </c>
      <c r="G15" s="25"/>
      <c r="I15" s="9"/>
      <c r="K15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4" t="str">
        <f>IF('Timesheet-Regular'!$D$6="No","",'Timesheet-Regular'!G23)</f>
        <v/>
      </c>
    </row>
    <row r="16" spans="1:12">
      <c r="A16" s="101" t="s">
        <v>217</v>
      </c>
      <c r="B16" s="94" t="s">
        <v>137</v>
      </c>
      <c r="C16" s="5"/>
      <c r="D16" s="5"/>
      <c r="E16" s="4"/>
      <c r="F16" s="113"/>
      <c r="I16" s="9"/>
      <c r="K16" s="235"/>
      <c r="L16" s="234"/>
    </row>
    <row r="17" spans="1:12">
      <c r="A17" s="100" t="s">
        <v>20</v>
      </c>
      <c r="B17" s="94" t="s">
        <v>79</v>
      </c>
      <c r="C17" s="5"/>
      <c r="D17" s="5"/>
      <c r="E17" s="4"/>
      <c r="F17" s="113"/>
      <c r="I17" s="9"/>
      <c r="K17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4" t="str">
        <f>IF('Timesheet-Regular'!$D$6="No","",'Timesheet-Regular'!G25)</f>
        <v/>
      </c>
    </row>
    <row r="18" spans="1:12">
      <c r="A18" s="102" t="s">
        <v>85</v>
      </c>
      <c r="B18" s="94" t="s">
        <v>80</v>
      </c>
      <c r="C18" s="5"/>
      <c r="D18" s="5"/>
      <c r="E18" s="4" t="s">
        <v>187</v>
      </c>
      <c r="F18" s="113">
        <f>VLOOKUP('Timesheet-Regular'!D7,List!E4:F15,2,0)</f>
        <v>21</v>
      </c>
      <c r="G18" s="26"/>
      <c r="I18" s="9"/>
      <c r="K18" s="235"/>
      <c r="L18" s="234"/>
    </row>
    <row r="19" spans="1:12">
      <c r="A19" s="102" t="s">
        <v>203</v>
      </c>
      <c r="B19" s="94" t="s">
        <v>36</v>
      </c>
      <c r="C19" s="5"/>
      <c r="D19" s="5"/>
      <c r="E19" s="4" t="s">
        <v>186</v>
      </c>
      <c r="F19" s="113">
        <f>IF('Timesheet-Regular'!D5="Existing",IF('Timesheet-Regular'!F77=List!F18,VLOOKUP('Timesheet-Regular'!D7,List!E4:F15,2,0),0),VLOOKUP('Timesheet-Regular'!D7,List!E4:F15,2,0))</f>
        <v>21</v>
      </c>
      <c r="K19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4" t="str">
        <f>IF('Timesheet-Regular'!$D$6="No","",'Timesheet-Regular'!G27)</f>
        <v/>
      </c>
    </row>
    <row r="20" spans="1:12">
      <c r="A20" s="101" t="s">
        <v>26</v>
      </c>
      <c r="B20" s="94" t="s">
        <v>218</v>
      </c>
      <c r="C20" s="5"/>
      <c r="D20" s="5"/>
      <c r="E20" s="4"/>
      <c r="F20" s="113"/>
      <c r="K20" s="235"/>
      <c r="L20" s="234"/>
    </row>
    <row r="21" spans="1:12">
      <c r="A21" s="101" t="s">
        <v>27</v>
      </c>
      <c r="B21" s="94" t="s">
        <v>81</v>
      </c>
      <c r="C21" s="5"/>
      <c r="D21" s="5"/>
      <c r="F21" s="113"/>
      <c r="K21" s="235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34" t="str">
        <f>IF('Timesheet-Regular'!$D$6="No","",'Timesheet-Regular'!G29)</f>
        <v/>
      </c>
    </row>
    <row r="22" spans="1:12">
      <c r="A22" s="102" t="s">
        <v>201</v>
      </c>
      <c r="B22" s="94" t="s">
        <v>37</v>
      </c>
      <c r="C22" s="5"/>
      <c r="D22" s="5"/>
      <c r="F22" s="113"/>
      <c r="K22" s="235"/>
      <c r="L22" s="234"/>
    </row>
    <row r="23" spans="1:12">
      <c r="A23" s="100" t="s">
        <v>79</v>
      </c>
      <c r="B23" s="94" t="s">
        <v>176</v>
      </c>
      <c r="C23" s="5"/>
      <c r="D23" s="5"/>
      <c r="F23" s="113"/>
      <c r="K23" s="235" t="str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/>
      </c>
      <c r="L23" s="234" t="str">
        <f>IF('Timesheet-Regular'!$D$6="No","",'Timesheet-Regular'!G31)</f>
        <v/>
      </c>
    </row>
    <row r="24" spans="1:12">
      <c r="A24" s="100" t="s">
        <v>30</v>
      </c>
      <c r="B24" s="94" t="s">
        <v>215</v>
      </c>
      <c r="C24" s="5"/>
      <c r="D24" s="5"/>
      <c r="F24" s="113"/>
      <c r="K24" s="235"/>
      <c r="L24" s="234"/>
    </row>
    <row r="25" spans="1:12">
      <c r="A25" s="102" t="s">
        <v>39</v>
      </c>
      <c r="B25" s="94" t="s">
        <v>82</v>
      </c>
      <c r="C25" s="5"/>
      <c r="D25" s="5"/>
      <c r="F25" s="113"/>
      <c r="K25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4" t="str">
        <f>IF('Timesheet-Regular'!$D$6="No","",'Timesheet-Regular'!G33)</f>
        <v/>
      </c>
    </row>
    <row r="26" spans="1:12">
      <c r="A26" s="102" t="s">
        <v>206</v>
      </c>
      <c r="B26" s="94" t="s">
        <v>19</v>
      </c>
      <c r="C26" s="5"/>
      <c r="D26" s="5"/>
      <c r="F26" s="113"/>
      <c r="K26" s="235"/>
      <c r="L26" s="234"/>
    </row>
    <row r="27" spans="1:12">
      <c r="A27" s="100" t="s">
        <v>28</v>
      </c>
      <c r="B27" s="94" t="s">
        <v>83</v>
      </c>
      <c r="C27" s="5"/>
      <c r="D27" s="5"/>
      <c r="F27" s="113"/>
      <c r="K27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4" t="str">
        <f>IF('Timesheet-Regular'!$D$6="No","",'Timesheet-Regular'!G35)</f>
        <v/>
      </c>
    </row>
    <row r="28" spans="1:12">
      <c r="A28" s="101" t="s">
        <v>21</v>
      </c>
      <c r="B28" s="94" t="s">
        <v>38</v>
      </c>
      <c r="C28" s="5"/>
      <c r="D28" s="5"/>
      <c r="F28" s="113"/>
      <c r="K28" s="235"/>
      <c r="L28" s="234"/>
    </row>
    <row r="29" spans="1:12">
      <c r="A29" s="101" t="s">
        <v>146</v>
      </c>
      <c r="B29" s="94" t="s">
        <v>190</v>
      </c>
      <c r="C29" s="5"/>
      <c r="D29" s="5"/>
      <c r="F29" s="113"/>
      <c r="K29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4" t="str">
        <f>IF('Timesheet-Regular'!$D$6="No","",'Timesheet-Regular'!G37)</f>
        <v/>
      </c>
    </row>
    <row r="30" spans="1:12">
      <c r="A30" s="100" t="s">
        <v>23</v>
      </c>
      <c r="B30" s="94" t="s">
        <v>138</v>
      </c>
      <c r="C30" s="5"/>
      <c r="D30" s="5"/>
      <c r="F30" s="113"/>
      <c r="K30" s="235"/>
      <c r="L30" s="234"/>
    </row>
    <row r="31" spans="1:12">
      <c r="A31" s="101" t="s">
        <v>194</v>
      </c>
      <c r="B31" s="94" t="s">
        <v>193</v>
      </c>
      <c r="C31" s="5"/>
      <c r="D31" s="5"/>
      <c r="F31" s="113"/>
      <c r="K31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4" t="str">
        <f>IF('Timesheet-Regular'!$D$6="No","",'Timesheet-Regular'!G39)</f>
        <v/>
      </c>
    </row>
    <row r="32" spans="1:12">
      <c r="A32" s="101" t="s">
        <v>213</v>
      </c>
      <c r="B32" s="94" t="s">
        <v>84</v>
      </c>
      <c r="C32" s="5"/>
      <c r="D32" s="5"/>
      <c r="F32" s="113"/>
      <c r="K32" s="235"/>
      <c r="L32" s="234"/>
    </row>
    <row r="33" spans="1:12">
      <c r="A33" s="101" t="s">
        <v>198</v>
      </c>
      <c r="B33" s="94" t="s">
        <v>29</v>
      </c>
      <c r="C33" s="5"/>
      <c r="D33" s="5"/>
      <c r="F33" s="113"/>
      <c r="K33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4" t="str">
        <f>IF('Timesheet-Regular'!$D$6="No","",'Timesheet-Regular'!G41)</f>
        <v/>
      </c>
    </row>
    <row r="34" spans="1:12">
      <c r="A34" s="101" t="s">
        <v>214</v>
      </c>
      <c r="B34" s="94" t="s">
        <v>196</v>
      </c>
      <c r="C34" s="5"/>
      <c r="D34" s="5"/>
      <c r="F34" s="113"/>
      <c r="K34" s="235"/>
      <c r="L34" s="234"/>
    </row>
    <row r="35" spans="1:12">
      <c r="A35" s="101" t="s">
        <v>40</v>
      </c>
      <c r="B35" s="94" t="s">
        <v>177</v>
      </c>
      <c r="C35" s="5"/>
      <c r="D35" s="5"/>
      <c r="F35" s="113"/>
      <c r="K35" s="235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4" t="str">
        <f>IF('Timesheet-Regular'!$D$6="No","",'Timesheet-Regular'!G43)</f>
        <v/>
      </c>
    </row>
    <row r="36" spans="1:12">
      <c r="A36" s="101" t="s">
        <v>215</v>
      </c>
      <c r="B36" s="94" t="s">
        <v>25</v>
      </c>
      <c r="C36" s="5"/>
      <c r="D36" s="5"/>
      <c r="F36" s="113"/>
      <c r="K36" s="235"/>
      <c r="L36" s="234"/>
    </row>
    <row r="37" spans="1:12">
      <c r="A37" s="102" t="s">
        <v>42</v>
      </c>
      <c r="B37" s="94" t="s">
        <v>20</v>
      </c>
      <c r="C37" s="5"/>
      <c r="D37" s="5"/>
      <c r="F37" s="113"/>
      <c r="K37" s="235" t="str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/>
      </c>
      <c r="L37" s="234" t="str">
        <f>IF('Timesheet-Regular'!$D$6="No","",'Timesheet-Regular'!G45)</f>
        <v/>
      </c>
    </row>
    <row r="38" spans="1:12">
      <c r="A38" s="102" t="s">
        <v>212</v>
      </c>
      <c r="B38" s="94" t="s">
        <v>85</v>
      </c>
      <c r="C38" s="5"/>
      <c r="D38" s="5"/>
      <c r="F38" s="113"/>
      <c r="K38" s="235"/>
      <c r="L38" s="234"/>
    </row>
    <row r="39" spans="1:12">
      <c r="B39" s="94" t="s">
        <v>203</v>
      </c>
      <c r="F39" s="113"/>
      <c r="K39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4" t="str">
        <f>IF('Timesheet-Regular'!$D$6="No","",'Timesheet-Regular'!G47)</f>
        <v/>
      </c>
    </row>
    <row r="40" spans="1:12">
      <c r="A40" s="103" t="s">
        <v>16</v>
      </c>
      <c r="B40" s="94" t="s">
        <v>26</v>
      </c>
      <c r="F40" s="113"/>
      <c r="K40" s="235"/>
      <c r="L40" s="234"/>
    </row>
    <row r="41" spans="1:12">
      <c r="A41" s="103"/>
      <c r="B41" s="94" t="s">
        <v>128</v>
      </c>
      <c r="F41" s="113"/>
      <c r="K41" s="235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4" t="str">
        <f>IF('Timesheet-Regular'!$D$6="No","",'Timesheet-Regular'!G49)</f>
        <v/>
      </c>
    </row>
    <row r="42" spans="1:12">
      <c r="A42" s="103" t="s">
        <v>136</v>
      </c>
      <c r="B42" s="94" t="s">
        <v>27</v>
      </c>
      <c r="F42" s="113"/>
      <c r="K42" s="235"/>
      <c r="L42" s="234"/>
    </row>
    <row r="43" spans="1:12">
      <c r="A43" s="103" t="s">
        <v>32</v>
      </c>
      <c r="B43" s="94" t="s">
        <v>178</v>
      </c>
      <c r="F43" s="113"/>
      <c r="K43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4" t="str">
        <f>IF('Timesheet-Regular'!$D$6="No","",'Timesheet-Regular'!G51)</f>
        <v/>
      </c>
    </row>
    <row r="44" spans="1:12">
      <c r="A44" s="103" t="s">
        <v>78</v>
      </c>
      <c r="B44" s="94" t="s">
        <v>30</v>
      </c>
      <c r="F44" s="113"/>
      <c r="K44" s="235"/>
      <c r="L44" s="234"/>
    </row>
    <row r="45" spans="1:12">
      <c r="A45" s="103" t="s">
        <v>35</v>
      </c>
      <c r="B45" s="94" t="s">
        <v>39</v>
      </c>
      <c r="F45" s="113"/>
      <c r="K45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4" t="str">
        <f>IF('Timesheet-Regular'!$D$6="No","",'Timesheet-Regular'!G53)</f>
        <v/>
      </c>
    </row>
    <row r="46" spans="1:12">
      <c r="A46" s="103" t="s">
        <v>137</v>
      </c>
      <c r="B46" s="94" t="s">
        <v>28</v>
      </c>
      <c r="F46" s="113"/>
      <c r="K46" s="235"/>
      <c r="L46" s="234"/>
    </row>
    <row r="47" spans="1:12">
      <c r="A47" s="103" t="s">
        <v>178</v>
      </c>
      <c r="B47" s="94" t="s">
        <v>213</v>
      </c>
      <c r="F47" s="113"/>
      <c r="K47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4" t="str">
        <f>IF('Timesheet-Regular'!$D$6="No","",'Timesheet-Regular'!G55)</f>
        <v/>
      </c>
    </row>
    <row r="48" spans="1:12">
      <c r="A48" s="103" t="s">
        <v>36</v>
      </c>
      <c r="B48" s="94" t="s">
        <v>202</v>
      </c>
      <c r="F48" s="113"/>
      <c r="K48" s="235"/>
      <c r="L48" s="234"/>
    </row>
    <row r="49" spans="1:12">
      <c r="A49" s="103" t="s">
        <v>176</v>
      </c>
      <c r="B49" s="94" t="s">
        <v>199</v>
      </c>
      <c r="F49" s="113"/>
      <c r="K49" s="235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49" s="234" t="str">
        <f>IF('Timesheet-Regular'!$D$6="No","",'Timesheet-Regular'!G57)</f>
        <v/>
      </c>
    </row>
    <row r="50" spans="1:12">
      <c r="A50" s="103" t="s">
        <v>82</v>
      </c>
      <c r="B50" s="94" t="s">
        <v>207</v>
      </c>
      <c r="F50" s="113"/>
      <c r="K50" s="235"/>
      <c r="L50" s="234"/>
    </row>
    <row r="51" spans="1:12">
      <c r="A51" s="103" t="s">
        <v>83</v>
      </c>
      <c r="B51" s="94" t="s">
        <v>21</v>
      </c>
      <c r="F51" s="113"/>
      <c r="K51" s="235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1" s="234" t="str">
        <f>IF('Timesheet-Regular'!$D$6="No","",'Timesheet-Regular'!G59)</f>
        <v/>
      </c>
    </row>
    <row r="52" spans="1:12">
      <c r="A52" s="103" t="s">
        <v>38</v>
      </c>
      <c r="B52" s="94" t="s">
        <v>205</v>
      </c>
      <c r="F52" s="113"/>
      <c r="K52" s="235"/>
      <c r="L52" s="234"/>
    </row>
    <row r="53" spans="1:12">
      <c r="A53" s="103"/>
      <c r="B53" s="94" t="s">
        <v>200</v>
      </c>
      <c r="F53" s="113"/>
      <c r="K53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4" t="str">
        <f>IF('Timesheet-Regular'!$D$6="No","",'Timesheet-Regular'!G61)</f>
        <v/>
      </c>
    </row>
    <row r="54" spans="1:12">
      <c r="A54" s="103" t="s">
        <v>84</v>
      </c>
      <c r="B54" s="94" t="s">
        <v>204</v>
      </c>
      <c r="F54" s="113"/>
      <c r="K54" s="235"/>
      <c r="L54" s="234"/>
    </row>
    <row r="55" spans="1:12">
      <c r="A55" s="103" t="s">
        <v>29</v>
      </c>
      <c r="B55" s="94" t="s">
        <v>192</v>
      </c>
      <c r="F55" s="113"/>
      <c r="K55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4" t="str">
        <f>IF('Timesheet-Regular'!$D$6="No","",'Timesheet-Regular'!G63)</f>
        <v/>
      </c>
    </row>
    <row r="56" spans="1:12">
      <c r="A56" s="103" t="s">
        <v>27</v>
      </c>
      <c r="B56" s="94" t="s">
        <v>147</v>
      </c>
      <c r="F56" s="113"/>
      <c r="K56" s="235"/>
      <c r="L56" s="234"/>
    </row>
    <row r="57" spans="1:12">
      <c r="A57" s="103" t="s">
        <v>39</v>
      </c>
      <c r="B57" s="94" t="s">
        <v>195</v>
      </c>
      <c r="F57" s="113"/>
      <c r="K57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4" t="str">
        <f>IF('Timesheet-Regular'!$D$6="No","",'Timesheet-Regular'!G65)</f>
        <v/>
      </c>
    </row>
    <row r="58" spans="1:12">
      <c r="A58" s="103" t="s">
        <v>147</v>
      </c>
      <c r="B58" s="94" t="s">
        <v>206</v>
      </c>
      <c r="F58" s="113"/>
      <c r="K58" s="235"/>
      <c r="L58" s="234"/>
    </row>
    <row r="59" spans="1:12">
      <c r="A59" s="103"/>
      <c r="B59" s="94" t="s">
        <v>40</v>
      </c>
      <c r="F59" s="113"/>
      <c r="K59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4"/>
    </row>
    <row r="60" spans="1:12">
      <c r="A60" s="103" t="s">
        <v>22</v>
      </c>
      <c r="B60" s="94" t="s">
        <v>211</v>
      </c>
      <c r="F60" s="113"/>
      <c r="K60" s="235"/>
      <c r="L60" s="105"/>
    </row>
    <row r="61" spans="1:12">
      <c r="A61" s="103" t="s">
        <v>31</v>
      </c>
      <c r="B61" s="94" t="s">
        <v>201</v>
      </c>
      <c r="F61" s="113"/>
      <c r="K61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4" t="str">
        <f>IF('Timesheet-Regular'!$D$6="No","",'Timesheet-Regular'!G67)</f>
        <v/>
      </c>
    </row>
    <row r="62" spans="1:12">
      <c r="A62" s="103" t="s">
        <v>192</v>
      </c>
      <c r="B62" s="94" t="s">
        <v>22</v>
      </c>
      <c r="F62" s="113"/>
      <c r="K62" s="235"/>
      <c r="L62" s="234"/>
    </row>
    <row r="63" spans="1:12">
      <c r="A63" s="103"/>
      <c r="B63" s="94" t="s">
        <v>179</v>
      </c>
      <c r="F63" s="113"/>
      <c r="K63" s="235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3" s="234"/>
    </row>
    <row r="64" spans="1:12">
      <c r="A64" s="103" t="s">
        <v>41</v>
      </c>
      <c r="B64" s="94" t="s">
        <v>31</v>
      </c>
      <c r="F64" s="113"/>
      <c r="K64" s="235"/>
      <c r="L64" s="234"/>
    </row>
    <row r="65" spans="1:12">
      <c r="A65" s="104" t="s">
        <v>180</v>
      </c>
      <c r="B65" s="94" t="s">
        <v>217</v>
      </c>
      <c r="F65" s="113"/>
      <c r="K65" s="235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4"/>
    </row>
    <row r="66" spans="1:12">
      <c r="A66" s="100" t="s">
        <v>33</v>
      </c>
      <c r="B66" s="94" t="s">
        <v>41</v>
      </c>
      <c r="F66" s="113"/>
      <c r="K66" s="235"/>
      <c r="L66" s="105"/>
    </row>
    <row r="67" spans="1:12">
      <c r="A67" s="101" t="s">
        <v>17</v>
      </c>
      <c r="B67" s="94" t="s">
        <v>23</v>
      </c>
      <c r="F67" s="113"/>
      <c r="K67" s="235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4" t="str">
        <f>IF('Timesheet-Regular'!$D$6="No","",'Timesheet-Regular'!G69)</f>
        <v/>
      </c>
    </row>
    <row r="68" spans="1:12">
      <c r="A68" s="102" t="s">
        <v>24</v>
      </c>
      <c r="B68" s="94" t="s">
        <v>146</v>
      </c>
      <c r="F68" s="113"/>
      <c r="K68" s="235"/>
      <c r="L68" s="234"/>
    </row>
    <row r="69" spans="1:12">
      <c r="A69" s="102" t="s">
        <v>80</v>
      </c>
      <c r="B69" s="94" t="s">
        <v>194</v>
      </c>
      <c r="F69" s="113"/>
      <c r="K69" s="235"/>
      <c r="L69" s="234"/>
    </row>
    <row r="70" spans="1:12">
      <c r="A70" s="102" t="s">
        <v>18</v>
      </c>
      <c r="B70" s="94" t="s">
        <v>197</v>
      </c>
      <c r="F70" s="113"/>
      <c r="K70" s="235"/>
      <c r="L70" s="98"/>
    </row>
    <row r="71" spans="1:12">
      <c r="A71" s="101" t="s">
        <v>205</v>
      </c>
      <c r="B71" s="94" t="s">
        <v>198</v>
      </c>
      <c r="F71" s="113"/>
      <c r="K71" s="235"/>
    </row>
    <row r="72" spans="1:12">
      <c r="A72" s="100" t="s">
        <v>19</v>
      </c>
      <c r="B72" s="94" t="s">
        <v>212</v>
      </c>
      <c r="F72" s="113"/>
      <c r="K72" s="235"/>
    </row>
    <row r="73" spans="1:12">
      <c r="A73" s="102" t="s">
        <v>204</v>
      </c>
      <c r="B73" s="94" t="s">
        <v>214</v>
      </c>
      <c r="F73" s="113"/>
      <c r="K73" s="235"/>
    </row>
    <row r="74" spans="1:12">
      <c r="A74" s="102" t="s">
        <v>190</v>
      </c>
      <c r="B74" s="94" t="s">
        <v>42</v>
      </c>
      <c r="F74" s="113"/>
      <c r="K74" s="235"/>
    </row>
    <row r="75" spans="1:12">
      <c r="A75" s="102" t="s">
        <v>25</v>
      </c>
      <c r="B75" s="94"/>
      <c r="F75" s="113"/>
      <c r="K75" s="235"/>
    </row>
    <row r="76" spans="1:12">
      <c r="A76" s="100" t="s">
        <v>20</v>
      </c>
      <c r="F76" s="113"/>
      <c r="K76" s="235"/>
    </row>
    <row r="77" spans="1:12">
      <c r="A77" s="102" t="s">
        <v>85</v>
      </c>
      <c r="F77" s="113"/>
      <c r="K77" s="235"/>
    </row>
    <row r="78" spans="1:12">
      <c r="A78" s="102" t="s">
        <v>203</v>
      </c>
      <c r="F78" s="113"/>
      <c r="K78" s="235"/>
    </row>
    <row r="79" spans="1:12">
      <c r="A79" s="102" t="s">
        <v>212</v>
      </c>
      <c r="F79" s="113"/>
      <c r="K79" s="235"/>
    </row>
    <row r="80" spans="1:12">
      <c r="A80" s="101" t="s">
        <v>27</v>
      </c>
      <c r="F80" s="113"/>
      <c r="K80" s="235"/>
    </row>
    <row r="81" spans="1:11">
      <c r="A81" s="101" t="s">
        <v>206</v>
      </c>
      <c r="F81" s="113"/>
      <c r="K81" s="235"/>
    </row>
    <row r="82" spans="1:11">
      <c r="A82" s="102" t="s">
        <v>201</v>
      </c>
      <c r="F82" s="113"/>
      <c r="K82" s="235"/>
    </row>
    <row r="83" spans="1:11">
      <c r="A83" s="102" t="s">
        <v>79</v>
      </c>
      <c r="F83" s="113"/>
      <c r="K83" s="235"/>
    </row>
    <row r="84" spans="1:11">
      <c r="A84" s="102" t="s">
        <v>26</v>
      </c>
      <c r="F84" s="113"/>
      <c r="K84" s="235"/>
    </row>
    <row r="85" spans="1:11">
      <c r="A85" s="102" t="s">
        <v>214</v>
      </c>
      <c r="F85" s="113"/>
      <c r="K85" s="235"/>
    </row>
    <row r="86" spans="1:11">
      <c r="A86" s="102" t="s">
        <v>30</v>
      </c>
      <c r="F86" s="113"/>
      <c r="K86" s="235"/>
    </row>
    <row r="87" spans="1:11">
      <c r="A87" s="102" t="s">
        <v>194</v>
      </c>
      <c r="F87" s="113"/>
      <c r="K87" s="235"/>
    </row>
    <row r="88" spans="1:11">
      <c r="A88" s="102" t="s">
        <v>198</v>
      </c>
      <c r="F88" s="113"/>
      <c r="K88" s="235"/>
    </row>
    <row r="89" spans="1:11">
      <c r="A89" s="102" t="s">
        <v>215</v>
      </c>
      <c r="F89" s="113"/>
      <c r="K89" s="235"/>
    </row>
    <row r="90" spans="1:11">
      <c r="A90" s="101" t="s">
        <v>21</v>
      </c>
      <c r="F90" s="113"/>
      <c r="K90" s="235"/>
    </row>
    <row r="91" spans="1:11">
      <c r="A91" s="101" t="s">
        <v>40</v>
      </c>
      <c r="F91" s="113"/>
      <c r="K91" s="235"/>
    </row>
    <row r="92" spans="1:11">
      <c r="A92" s="102" t="s">
        <v>146</v>
      </c>
      <c r="F92" s="113"/>
      <c r="K92" s="235"/>
    </row>
    <row r="93" spans="1:11">
      <c r="A93" s="102" t="s">
        <v>23</v>
      </c>
      <c r="F93" s="113"/>
      <c r="K93" s="235"/>
    </row>
    <row r="94" spans="1:11">
      <c r="A94" s="102" t="s">
        <v>42</v>
      </c>
      <c r="F94" s="113"/>
      <c r="K94" s="235"/>
    </row>
    <row r="95" spans="1:11">
      <c r="F95" s="113"/>
      <c r="K95" s="235"/>
    </row>
    <row r="96" spans="1:11">
      <c r="F96" s="113"/>
      <c r="K96" s="235"/>
    </row>
    <row r="97" spans="6:11">
      <c r="F97" s="113"/>
      <c r="K97" s="235"/>
    </row>
    <row r="98" spans="6:11">
      <c r="F98" s="113"/>
      <c r="K98" s="235"/>
    </row>
    <row r="99" spans="6:11">
      <c r="F99" s="113"/>
      <c r="K99" s="235"/>
    </row>
    <row r="100" spans="6:11">
      <c r="F100" s="113"/>
      <c r="K100" s="235"/>
    </row>
    <row r="101" spans="6:11">
      <c r="F101" s="113"/>
      <c r="K101" s="235"/>
    </row>
    <row r="102" spans="6:11">
      <c r="F102" s="113"/>
      <c r="K102" s="235"/>
    </row>
    <row r="103" spans="6:11">
      <c r="F103" s="113"/>
      <c r="K103" s="235"/>
    </row>
    <row r="104" spans="6:11">
      <c r="F104" s="113"/>
      <c r="K104" s="235"/>
    </row>
    <row r="105" spans="6:11">
      <c r="F105" s="113"/>
      <c r="K105" s="235"/>
    </row>
    <row r="106" spans="6:11">
      <c r="F106" s="113"/>
      <c r="K106" s="235"/>
    </row>
    <row r="107" spans="6:11">
      <c r="F107" s="113"/>
      <c r="K107" s="235"/>
    </row>
    <row r="108" spans="6:11">
      <c r="F108" s="113"/>
      <c r="K108" s="235"/>
    </row>
    <row r="109" spans="6:11">
      <c r="F109" s="113"/>
    </row>
    <row r="110" spans="6:11">
      <c r="F110" s="113"/>
    </row>
    <row r="111" spans="6:11">
      <c r="F111" s="113"/>
    </row>
    <row r="112" spans="6:11">
      <c r="F112" s="113"/>
    </row>
    <row r="113" spans="6:6">
      <c r="F113" s="113"/>
    </row>
    <row r="114" spans="6:6">
      <c r="F114" s="113"/>
    </row>
    <row r="115" spans="6:6">
      <c r="F115" s="113"/>
    </row>
    <row r="116" spans="6:6">
      <c r="F116" s="113"/>
    </row>
    <row r="117" spans="6:6">
      <c r="F117" s="113"/>
    </row>
    <row r="118" spans="6:6">
      <c r="F118" s="113"/>
    </row>
    <row r="119" spans="6:6">
      <c r="F119" s="113"/>
    </row>
    <row r="120" spans="6:6">
      <c r="F120" s="113"/>
    </row>
    <row r="121" spans="6:6">
      <c r="F121" s="113"/>
    </row>
    <row r="122" spans="6:6">
      <c r="F122" s="113"/>
    </row>
    <row r="123" spans="6:6">
      <c r="F123" s="113"/>
    </row>
    <row r="124" spans="6:6">
      <c r="F124" s="113"/>
    </row>
    <row r="125" spans="6:6">
      <c r="F125" s="113"/>
    </row>
    <row r="126" spans="6:6">
      <c r="F126" s="113"/>
    </row>
    <row r="127" spans="6:6">
      <c r="F127" s="113"/>
    </row>
    <row r="128" spans="6:6">
      <c r="F128" s="113"/>
    </row>
    <row r="129" spans="6:6">
      <c r="F129" s="113"/>
    </row>
    <row r="130" spans="6:6">
      <c r="F130" s="113"/>
    </row>
    <row r="131" spans="6:6">
      <c r="F131" s="113"/>
    </row>
    <row r="132" spans="6:6">
      <c r="F132" s="113"/>
    </row>
    <row r="133" spans="6:6">
      <c r="F133" s="113"/>
    </row>
    <row r="134" spans="6:6">
      <c r="F134" s="113"/>
    </row>
    <row r="135" spans="6:6">
      <c r="F135" s="113"/>
    </row>
    <row r="136" spans="6:6">
      <c r="F136" s="113"/>
    </row>
    <row r="137" spans="6:6">
      <c r="F137" s="113"/>
    </row>
    <row r="138" spans="6:6">
      <c r="F138" s="113"/>
    </row>
    <row r="139" spans="6:6">
      <c r="F139" s="113"/>
    </row>
    <row r="140" spans="6:6">
      <c r="F140" s="113"/>
    </row>
    <row r="141" spans="6:6">
      <c r="F141" s="113"/>
    </row>
    <row r="142" spans="6:6">
      <c r="F142" s="113"/>
    </row>
    <row r="143" spans="6:6">
      <c r="F143" s="113"/>
    </row>
    <row r="144" spans="6:6">
      <c r="F144" s="113"/>
    </row>
    <row r="145" spans="6:6">
      <c r="F145" s="113"/>
    </row>
    <row r="146" spans="6:6">
      <c r="F146" s="113"/>
    </row>
    <row r="147" spans="6:6">
      <c r="F147" s="113"/>
    </row>
    <row r="148" spans="6:6">
      <c r="F148" s="113"/>
    </row>
    <row r="149" spans="6:6">
      <c r="F149" s="113"/>
    </row>
    <row r="150" spans="6:6">
      <c r="F150" s="113"/>
    </row>
    <row r="151" spans="6:6">
      <c r="F151" s="113"/>
    </row>
    <row r="152" spans="6:6">
      <c r="F152" s="113"/>
    </row>
    <row r="153" spans="6:6">
      <c r="F153" s="113"/>
    </row>
    <row r="154" spans="6:6">
      <c r="F154" s="113"/>
    </row>
    <row r="155" spans="6:6">
      <c r="F155" s="113"/>
    </row>
    <row r="156" spans="6:6">
      <c r="F156" s="113"/>
    </row>
    <row r="157" spans="6:6">
      <c r="F157" s="113"/>
    </row>
    <row r="158" spans="6:6">
      <c r="F158" s="113"/>
    </row>
    <row r="159" spans="6:6">
      <c r="F159" s="113"/>
    </row>
    <row r="160" spans="6:6">
      <c r="F160" s="113"/>
    </row>
    <row r="161" spans="6:6">
      <c r="F161" s="113"/>
    </row>
    <row r="162" spans="6:6">
      <c r="F162" s="113"/>
    </row>
    <row r="163" spans="6:6">
      <c r="F163" s="113"/>
    </row>
    <row r="164" spans="6:6">
      <c r="F164" s="113"/>
    </row>
    <row r="165" spans="6:6">
      <c r="F165" s="113"/>
    </row>
    <row r="166" spans="6:6">
      <c r="F166" s="113"/>
    </row>
    <row r="167" spans="6:6">
      <c r="F167" s="113"/>
    </row>
    <row r="168" spans="6:6">
      <c r="F168" s="113"/>
    </row>
    <row r="169" spans="6:6">
      <c r="F169" s="113"/>
    </row>
    <row r="170" spans="6:6">
      <c r="F170" s="113"/>
    </row>
    <row r="171" spans="6:6">
      <c r="F171" s="113"/>
    </row>
    <row r="172" spans="6:6">
      <c r="F172" s="113"/>
    </row>
    <row r="173" spans="6:6">
      <c r="F173" s="113"/>
    </row>
    <row r="174" spans="6:6">
      <c r="F174" s="113"/>
    </row>
    <row r="175" spans="6:6">
      <c r="F175" s="113"/>
    </row>
    <row r="176" spans="6:6">
      <c r="F176" s="113"/>
    </row>
    <row r="177" spans="6:6">
      <c r="F177" s="113"/>
    </row>
    <row r="178" spans="6:6">
      <c r="F178" s="113"/>
    </row>
    <row r="179" spans="6:6">
      <c r="F179" s="113"/>
    </row>
    <row r="180" spans="6:6">
      <c r="F180" s="113"/>
    </row>
    <row r="181" spans="6:6">
      <c r="F181" s="113"/>
    </row>
    <row r="182" spans="6:6">
      <c r="F182" s="113"/>
    </row>
    <row r="183" spans="6:6">
      <c r="F183" s="113"/>
    </row>
    <row r="184" spans="6:6">
      <c r="F184" s="113"/>
    </row>
    <row r="185" spans="6:6">
      <c r="F185" s="113"/>
    </row>
    <row r="186" spans="6:6">
      <c r="F186" s="113"/>
    </row>
    <row r="187" spans="6:6">
      <c r="F187" s="113"/>
    </row>
    <row r="188" spans="6:6">
      <c r="F188" s="113"/>
    </row>
    <row r="189" spans="6:6">
      <c r="F189" s="113"/>
    </row>
    <row r="190" spans="6:6">
      <c r="F190" s="113"/>
    </row>
    <row r="191" spans="6:6">
      <c r="F191" s="113"/>
    </row>
    <row r="192" spans="6:6">
      <c r="F192" s="113"/>
    </row>
    <row r="193" spans="6:6">
      <c r="F193" s="113"/>
    </row>
    <row r="194" spans="6:6">
      <c r="F194" s="113"/>
    </row>
    <row r="195" spans="6:6">
      <c r="F195" s="113"/>
    </row>
    <row r="196" spans="6:6">
      <c r="F196" s="113"/>
    </row>
    <row r="197" spans="6:6">
      <c r="F197" s="113"/>
    </row>
    <row r="198" spans="6:6">
      <c r="F198" s="113"/>
    </row>
    <row r="199" spans="6:6">
      <c r="F199" s="113"/>
    </row>
    <row r="200" spans="6:6">
      <c r="F200" s="113"/>
    </row>
    <row r="201" spans="6:6">
      <c r="F201" s="113"/>
    </row>
    <row r="202" spans="6:6">
      <c r="F202" s="113"/>
    </row>
    <row r="203" spans="6:6">
      <c r="F203" s="113"/>
    </row>
    <row r="204" spans="6:6">
      <c r="F204" s="113"/>
    </row>
    <row r="205" spans="6:6">
      <c r="F205" s="113"/>
    </row>
    <row r="206" spans="6:6">
      <c r="F206" s="113"/>
    </row>
    <row r="207" spans="6:6">
      <c r="F207" s="113"/>
    </row>
    <row r="208" spans="6:6">
      <c r="F208" s="113"/>
    </row>
    <row r="209" spans="6:6">
      <c r="F209" s="113"/>
    </row>
    <row r="210" spans="6:6">
      <c r="F210" s="113"/>
    </row>
    <row r="211" spans="6:6">
      <c r="F211" s="113"/>
    </row>
    <row r="212" spans="6:6">
      <c r="F212" s="113"/>
    </row>
    <row r="213" spans="6:6">
      <c r="F213" s="113"/>
    </row>
    <row r="214" spans="6:6">
      <c r="F214" s="113"/>
    </row>
    <row r="215" spans="6:6">
      <c r="F215" s="113"/>
    </row>
    <row r="216" spans="6:6">
      <c r="F216" s="113"/>
    </row>
    <row r="217" spans="6:6">
      <c r="F217" s="113"/>
    </row>
    <row r="218" spans="6:6">
      <c r="F218" s="113"/>
    </row>
    <row r="219" spans="6:6">
      <c r="F219" s="113"/>
    </row>
    <row r="220" spans="6:6">
      <c r="F220" s="113"/>
    </row>
    <row r="221" spans="6:6">
      <c r="F221" s="113"/>
    </row>
    <row r="222" spans="6:6">
      <c r="F222" s="113"/>
    </row>
    <row r="223" spans="6:6">
      <c r="F223" s="113"/>
    </row>
    <row r="224" spans="6:6">
      <c r="F224" s="113"/>
    </row>
    <row r="225" spans="6:6">
      <c r="F225" s="113"/>
    </row>
    <row r="226" spans="6:6">
      <c r="F226" s="113"/>
    </row>
    <row r="227" spans="6:6">
      <c r="F227" s="113"/>
    </row>
    <row r="228" spans="6:6">
      <c r="F228" s="113"/>
    </row>
    <row r="229" spans="6:6">
      <c r="F229" s="113"/>
    </row>
    <row r="230" spans="6:6">
      <c r="F230" s="113"/>
    </row>
    <row r="231" spans="6:6">
      <c r="F231" s="113"/>
    </row>
    <row r="232" spans="6:6">
      <c r="F232" s="113"/>
    </row>
    <row r="233" spans="6:6">
      <c r="F233" s="113"/>
    </row>
    <row r="234" spans="6:6">
      <c r="F234" s="113"/>
    </row>
    <row r="235" spans="6:6">
      <c r="F235" s="113"/>
    </row>
    <row r="236" spans="6:6">
      <c r="F236" s="113"/>
    </row>
    <row r="237" spans="6:6">
      <c r="F237" s="113"/>
    </row>
    <row r="238" spans="6:6">
      <c r="F238" s="113"/>
    </row>
    <row r="239" spans="6:6">
      <c r="F239" s="113"/>
    </row>
    <row r="240" spans="6:6">
      <c r="F240" s="113"/>
    </row>
    <row r="241" spans="6:6">
      <c r="F241" s="113"/>
    </row>
    <row r="242" spans="6:6">
      <c r="F242" s="113"/>
    </row>
    <row r="243" spans="6:6">
      <c r="F243" s="113"/>
    </row>
    <row r="244" spans="6:6">
      <c r="F244" s="113"/>
    </row>
    <row r="245" spans="6:6">
      <c r="F245" s="113"/>
    </row>
    <row r="246" spans="6:6">
      <c r="F246" s="113"/>
    </row>
    <row r="247" spans="6:6">
      <c r="F247" s="113"/>
    </row>
    <row r="248" spans="6:6">
      <c r="F248" s="113"/>
    </row>
    <row r="249" spans="6:6">
      <c r="F249" s="113"/>
    </row>
    <row r="250" spans="6:6">
      <c r="F250" s="113"/>
    </row>
    <row r="251" spans="6:6">
      <c r="F251" s="113"/>
    </row>
    <row r="252" spans="6:6">
      <c r="F252" s="113"/>
    </row>
    <row r="253" spans="6:6">
      <c r="F253" s="113"/>
    </row>
    <row r="254" spans="6:6">
      <c r="F254" s="113"/>
    </row>
    <row r="255" spans="6:6">
      <c r="F255" s="113"/>
    </row>
    <row r="256" spans="6:6">
      <c r="F256" s="113"/>
    </row>
    <row r="257" spans="6:6">
      <c r="F257" s="113"/>
    </row>
    <row r="258" spans="6:6">
      <c r="F258" s="113"/>
    </row>
    <row r="259" spans="6:6">
      <c r="F259" s="113"/>
    </row>
    <row r="260" spans="6:6">
      <c r="F260" s="113"/>
    </row>
    <row r="261" spans="6:6">
      <c r="F261" s="113"/>
    </row>
    <row r="262" spans="6:6">
      <c r="F262" s="113"/>
    </row>
    <row r="263" spans="6:6">
      <c r="F263" s="113"/>
    </row>
    <row r="264" spans="6:6">
      <c r="F264" s="113"/>
    </row>
    <row r="265" spans="6:6">
      <c r="F265" s="113"/>
    </row>
    <row r="266" spans="6:6">
      <c r="F266" s="113"/>
    </row>
    <row r="267" spans="6:6">
      <c r="F267" s="113"/>
    </row>
    <row r="268" spans="6:6">
      <c r="F268" s="113"/>
    </row>
    <row r="269" spans="6:6">
      <c r="F269" s="113"/>
    </row>
    <row r="270" spans="6:6">
      <c r="F270" s="113"/>
    </row>
    <row r="271" spans="6:6">
      <c r="F271" s="113"/>
    </row>
    <row r="272" spans="6:6">
      <c r="F272" s="113"/>
    </row>
    <row r="273" spans="6:6">
      <c r="F273" s="113"/>
    </row>
    <row r="274" spans="6:6">
      <c r="F274" s="113"/>
    </row>
    <row r="275" spans="6:6">
      <c r="F275" s="113"/>
    </row>
    <row r="276" spans="6:6">
      <c r="F276" s="113"/>
    </row>
    <row r="277" spans="6:6">
      <c r="F277" s="113"/>
    </row>
    <row r="278" spans="6:6">
      <c r="F278" s="113"/>
    </row>
    <row r="279" spans="6:6">
      <c r="F279" s="113"/>
    </row>
    <row r="280" spans="6:6">
      <c r="F280" s="113"/>
    </row>
    <row r="281" spans="6:6">
      <c r="F281" s="113"/>
    </row>
    <row r="282" spans="6:6">
      <c r="F282" s="113"/>
    </row>
    <row r="283" spans="6:6">
      <c r="F283" s="113"/>
    </row>
    <row r="284" spans="6:6">
      <c r="F284" s="113"/>
    </row>
    <row r="285" spans="6:6">
      <c r="F285" s="113"/>
    </row>
    <row r="286" spans="6:6">
      <c r="F286" s="113"/>
    </row>
    <row r="287" spans="6:6">
      <c r="F287" s="113"/>
    </row>
    <row r="288" spans="6:6">
      <c r="F288" s="113"/>
    </row>
    <row r="289" spans="6:6">
      <c r="F289" s="113"/>
    </row>
    <row r="290" spans="6:6">
      <c r="F290" s="113"/>
    </row>
    <row r="291" spans="6:6">
      <c r="F291" s="113"/>
    </row>
    <row r="292" spans="6:6">
      <c r="F292" s="113"/>
    </row>
    <row r="293" spans="6:6">
      <c r="F293" s="113"/>
    </row>
    <row r="294" spans="6:6">
      <c r="F294" s="113"/>
    </row>
    <row r="295" spans="6:6">
      <c r="F295" s="113"/>
    </row>
    <row r="296" spans="6:6">
      <c r="F296" s="113"/>
    </row>
    <row r="297" spans="6:6">
      <c r="F297" s="113"/>
    </row>
    <row r="298" spans="6:6">
      <c r="F298" s="113"/>
    </row>
    <row r="299" spans="6:6">
      <c r="F299" s="113"/>
    </row>
    <row r="300" spans="6:6">
      <c r="F300" s="113"/>
    </row>
    <row r="301" spans="6:6">
      <c r="F301" s="113"/>
    </row>
    <row r="302" spans="6:6">
      <c r="F302" s="113"/>
    </row>
    <row r="303" spans="6:6">
      <c r="F303" s="113"/>
    </row>
    <row r="304" spans="6:6">
      <c r="F304" s="113"/>
    </row>
    <row r="305" spans="6:6">
      <c r="F305" s="113"/>
    </row>
    <row r="306" spans="6:6">
      <c r="F306" s="113"/>
    </row>
    <row r="307" spans="6:6">
      <c r="F307" s="113"/>
    </row>
    <row r="308" spans="6:6">
      <c r="F308" s="113"/>
    </row>
    <row r="309" spans="6:6">
      <c r="F309" s="113"/>
    </row>
    <row r="310" spans="6:6">
      <c r="F310" s="113"/>
    </row>
    <row r="311" spans="6:6">
      <c r="F311" s="113"/>
    </row>
    <row r="312" spans="6:6">
      <c r="F312" s="113"/>
    </row>
    <row r="313" spans="6:6">
      <c r="F313" s="113"/>
    </row>
    <row r="314" spans="6:6">
      <c r="F314" s="113"/>
    </row>
    <row r="315" spans="6:6">
      <c r="F315" s="113"/>
    </row>
    <row r="316" spans="6:6">
      <c r="F316" s="113"/>
    </row>
    <row r="317" spans="6:6">
      <c r="F317" s="113"/>
    </row>
    <row r="318" spans="6:6">
      <c r="F318" s="113"/>
    </row>
    <row r="319" spans="6:6">
      <c r="F319" s="113"/>
    </row>
    <row r="320" spans="6:6">
      <c r="F320" s="113"/>
    </row>
    <row r="321" spans="6:6">
      <c r="F321" s="113"/>
    </row>
    <row r="322" spans="6:6">
      <c r="F322" s="113"/>
    </row>
    <row r="323" spans="6:6">
      <c r="F323" s="113"/>
    </row>
    <row r="324" spans="6:6">
      <c r="F324" s="113"/>
    </row>
    <row r="325" spans="6:6">
      <c r="F325" s="113"/>
    </row>
    <row r="326" spans="6:6">
      <c r="F326" s="113"/>
    </row>
    <row r="327" spans="6:6">
      <c r="F327" s="113"/>
    </row>
    <row r="328" spans="6:6">
      <c r="F328" s="113"/>
    </row>
    <row r="329" spans="6:6">
      <c r="F329" s="113"/>
    </row>
    <row r="330" spans="6:6">
      <c r="F330" s="113"/>
    </row>
    <row r="331" spans="6:6">
      <c r="F331" s="113"/>
    </row>
    <row r="332" spans="6:6">
      <c r="F332" s="113"/>
    </row>
    <row r="333" spans="6:6">
      <c r="F333" s="113"/>
    </row>
    <row r="334" spans="6:6">
      <c r="F334" s="113"/>
    </row>
    <row r="335" spans="6:6">
      <c r="F335" s="113"/>
    </row>
    <row r="336" spans="6:6">
      <c r="F336" s="113"/>
    </row>
    <row r="337" spans="6:6">
      <c r="F337" s="113"/>
    </row>
    <row r="338" spans="6:6">
      <c r="F338" s="113"/>
    </row>
    <row r="339" spans="6:6">
      <c r="F339" s="113"/>
    </row>
    <row r="340" spans="6:6">
      <c r="F340" s="113"/>
    </row>
    <row r="341" spans="6:6">
      <c r="F341" s="113"/>
    </row>
    <row r="342" spans="6:6">
      <c r="F342" s="113"/>
    </row>
    <row r="343" spans="6:6">
      <c r="F343" s="113"/>
    </row>
    <row r="344" spans="6:6">
      <c r="F344" s="113"/>
    </row>
    <row r="345" spans="6:6">
      <c r="F345" s="113"/>
    </row>
    <row r="346" spans="6:6">
      <c r="F346" s="113"/>
    </row>
    <row r="347" spans="6:6">
      <c r="F347" s="113"/>
    </row>
    <row r="348" spans="6:6">
      <c r="F348" s="113"/>
    </row>
    <row r="349" spans="6:6">
      <c r="F349" s="113"/>
    </row>
    <row r="350" spans="6:6">
      <c r="F350" s="113"/>
    </row>
    <row r="351" spans="6:6">
      <c r="F351" s="113"/>
    </row>
    <row r="352" spans="6:6">
      <c r="F352" s="113"/>
    </row>
    <row r="353" spans="6:6">
      <c r="F353" s="113"/>
    </row>
    <row r="354" spans="6:6">
      <c r="F354" s="113"/>
    </row>
    <row r="355" spans="6:6">
      <c r="F355" s="113"/>
    </row>
    <row r="356" spans="6:6">
      <c r="F356" s="113"/>
    </row>
    <row r="357" spans="6:6">
      <c r="F357" s="113"/>
    </row>
    <row r="358" spans="6:6">
      <c r="F358" s="113"/>
    </row>
    <row r="359" spans="6:6">
      <c r="F359" s="113"/>
    </row>
    <row r="360" spans="6:6">
      <c r="F360" s="113"/>
    </row>
    <row r="361" spans="6:6">
      <c r="F361" s="113"/>
    </row>
    <row r="362" spans="6:6">
      <c r="F362" s="113"/>
    </row>
    <row r="363" spans="6:6">
      <c r="F363" s="113"/>
    </row>
    <row r="364" spans="6:6">
      <c r="F364" s="113"/>
    </row>
    <row r="365" spans="6:6">
      <c r="F365" s="113"/>
    </row>
    <row r="366" spans="6:6">
      <c r="F366" s="113"/>
    </row>
    <row r="367" spans="6:6">
      <c r="F367" s="113"/>
    </row>
    <row r="368" spans="6:6">
      <c r="F368" s="113"/>
    </row>
    <row r="369" spans="6:6">
      <c r="F369" s="113"/>
    </row>
    <row r="370" spans="6:6">
      <c r="F370" s="113"/>
    </row>
    <row r="371" spans="6:6">
      <c r="F371" s="113"/>
    </row>
    <row r="372" spans="6:6">
      <c r="F372" s="113"/>
    </row>
    <row r="373" spans="6:6">
      <c r="F373" s="113"/>
    </row>
    <row r="374" spans="6:6">
      <c r="F374" s="113"/>
    </row>
    <row r="375" spans="6:6">
      <c r="F375" s="113"/>
    </row>
    <row r="376" spans="6:6">
      <c r="F376" s="113"/>
    </row>
    <row r="377" spans="6:6">
      <c r="F377" s="113"/>
    </row>
    <row r="378" spans="6:6">
      <c r="F378" s="113"/>
    </row>
    <row r="379" spans="6:6">
      <c r="F379" s="113"/>
    </row>
    <row r="380" spans="6:6">
      <c r="F380" s="113"/>
    </row>
    <row r="381" spans="6:6">
      <c r="F381" s="113"/>
    </row>
    <row r="382" spans="6:6">
      <c r="F382" s="113"/>
    </row>
    <row r="383" spans="6:6">
      <c r="F383" s="113"/>
    </row>
    <row r="384" spans="6:6">
      <c r="F384" s="113"/>
    </row>
    <row r="385" spans="6:6">
      <c r="F385" s="113"/>
    </row>
    <row r="386" spans="6:6">
      <c r="F386" s="113"/>
    </row>
    <row r="387" spans="6:6">
      <c r="F387" s="113"/>
    </row>
    <row r="388" spans="6:6">
      <c r="F388" s="113"/>
    </row>
    <row r="389" spans="6:6">
      <c r="F389" s="113"/>
    </row>
    <row r="390" spans="6:6">
      <c r="F390" s="113"/>
    </row>
    <row r="391" spans="6:6">
      <c r="F391" s="113"/>
    </row>
    <row r="392" spans="6:6">
      <c r="F392" s="113"/>
    </row>
    <row r="393" spans="6:6">
      <c r="F393" s="113"/>
    </row>
    <row r="394" spans="6:6">
      <c r="F394" s="113"/>
    </row>
    <row r="395" spans="6:6">
      <c r="F395" s="113"/>
    </row>
    <row r="396" spans="6:6">
      <c r="F396" s="113"/>
    </row>
    <row r="397" spans="6:6">
      <c r="F397" s="113"/>
    </row>
    <row r="398" spans="6:6">
      <c r="F398" s="113"/>
    </row>
    <row r="399" spans="6:6">
      <c r="F399" s="113"/>
    </row>
    <row r="400" spans="6:6">
      <c r="F400" s="113"/>
    </row>
    <row r="401" spans="6:6">
      <c r="F401" s="113"/>
    </row>
    <row r="402" spans="6:6">
      <c r="F402" s="113"/>
    </row>
    <row r="403" spans="6:6">
      <c r="F403" s="113"/>
    </row>
    <row r="404" spans="6:6">
      <c r="F404" s="113"/>
    </row>
    <row r="405" spans="6:6">
      <c r="F405" s="113"/>
    </row>
    <row r="406" spans="6:6">
      <c r="F406" s="113"/>
    </row>
    <row r="407" spans="6:6">
      <c r="F407" s="113"/>
    </row>
    <row r="408" spans="6:6">
      <c r="F408" s="113"/>
    </row>
    <row r="409" spans="6:6">
      <c r="F409" s="113"/>
    </row>
    <row r="410" spans="6:6">
      <c r="F410" s="113"/>
    </row>
    <row r="411" spans="6:6">
      <c r="F411" s="113"/>
    </row>
    <row r="412" spans="6:6">
      <c r="F412" s="113"/>
    </row>
    <row r="413" spans="6:6">
      <c r="F413" s="113"/>
    </row>
    <row r="414" spans="6:6">
      <c r="F414" s="113"/>
    </row>
    <row r="415" spans="6:6">
      <c r="F415" s="113"/>
    </row>
    <row r="416" spans="6:6">
      <c r="F416" s="113"/>
    </row>
    <row r="417" spans="6:6">
      <c r="F417" s="113"/>
    </row>
    <row r="418" spans="6:6">
      <c r="F418" s="113"/>
    </row>
    <row r="419" spans="6:6">
      <c r="F419" s="113"/>
    </row>
    <row r="420" spans="6:6">
      <c r="F420" s="113"/>
    </row>
    <row r="421" spans="6:6">
      <c r="F421" s="113"/>
    </row>
    <row r="422" spans="6:6">
      <c r="F422" s="113"/>
    </row>
    <row r="423" spans="6:6">
      <c r="F423" s="113"/>
    </row>
    <row r="424" spans="6:6">
      <c r="F424" s="113"/>
    </row>
    <row r="425" spans="6:6">
      <c r="F425" s="113"/>
    </row>
    <row r="426" spans="6:6">
      <c r="F426" s="113"/>
    </row>
    <row r="427" spans="6:6">
      <c r="F427" s="113"/>
    </row>
    <row r="428" spans="6:6">
      <c r="F428" s="113"/>
    </row>
    <row r="429" spans="6:6">
      <c r="F429" s="113"/>
    </row>
    <row r="430" spans="6:6">
      <c r="F430" s="113"/>
    </row>
    <row r="431" spans="6:6">
      <c r="F431" s="113"/>
    </row>
    <row r="432" spans="6:6">
      <c r="F432" s="113"/>
    </row>
    <row r="433" spans="6:6">
      <c r="F433" s="113"/>
    </row>
    <row r="434" spans="6:6">
      <c r="F434" s="113"/>
    </row>
    <row r="435" spans="6:6">
      <c r="F435" s="113"/>
    </row>
    <row r="436" spans="6:6">
      <c r="F436" s="113"/>
    </row>
    <row r="437" spans="6:6">
      <c r="F437" s="113"/>
    </row>
    <row r="438" spans="6:6">
      <c r="F438" s="113"/>
    </row>
    <row r="439" spans="6:6">
      <c r="F439" s="113"/>
    </row>
    <row r="440" spans="6:6">
      <c r="F440" s="113"/>
    </row>
    <row r="441" spans="6:6">
      <c r="F441" s="113"/>
    </row>
    <row r="442" spans="6:6">
      <c r="F442" s="113"/>
    </row>
    <row r="443" spans="6:6">
      <c r="F443" s="113"/>
    </row>
    <row r="444" spans="6:6">
      <c r="F444" s="113"/>
    </row>
    <row r="445" spans="6:6">
      <c r="F445" s="113"/>
    </row>
    <row r="446" spans="6:6">
      <c r="F446" s="113"/>
    </row>
    <row r="447" spans="6:6">
      <c r="F447" s="113"/>
    </row>
    <row r="448" spans="6:6">
      <c r="F448" s="113"/>
    </row>
    <row r="449" spans="6:6">
      <c r="F449" s="113"/>
    </row>
    <row r="450" spans="6:6">
      <c r="F450" s="113"/>
    </row>
    <row r="451" spans="6:6">
      <c r="F451" s="113"/>
    </row>
    <row r="452" spans="6:6">
      <c r="F452" s="113"/>
    </row>
    <row r="453" spans="6:6">
      <c r="F453" s="113"/>
    </row>
    <row r="454" spans="6:6">
      <c r="F454" s="113"/>
    </row>
    <row r="455" spans="6:6">
      <c r="F455" s="113"/>
    </row>
    <row r="456" spans="6:6">
      <c r="F456" s="113"/>
    </row>
    <row r="457" spans="6:6">
      <c r="F457" s="113"/>
    </row>
    <row r="458" spans="6:6">
      <c r="F458" s="113"/>
    </row>
    <row r="459" spans="6:6">
      <c r="F459" s="113"/>
    </row>
    <row r="460" spans="6:6">
      <c r="F460" s="113"/>
    </row>
    <row r="461" spans="6:6">
      <c r="F461" s="113"/>
    </row>
    <row r="462" spans="6:6">
      <c r="F462" s="113"/>
    </row>
    <row r="463" spans="6:6">
      <c r="F463" s="113"/>
    </row>
    <row r="464" spans="6:6">
      <c r="F464" s="113"/>
    </row>
    <row r="465" spans="6:6">
      <c r="F465" s="113"/>
    </row>
    <row r="466" spans="6:6">
      <c r="F466" s="113"/>
    </row>
    <row r="467" spans="6:6">
      <c r="F467" s="113"/>
    </row>
    <row r="468" spans="6:6">
      <c r="F468" s="113"/>
    </row>
    <row r="469" spans="6:6">
      <c r="F469" s="113"/>
    </row>
    <row r="470" spans="6:6">
      <c r="F470" s="113"/>
    </row>
    <row r="471" spans="6:6">
      <c r="F471" s="113"/>
    </row>
    <row r="472" spans="6:6">
      <c r="F472" s="113"/>
    </row>
    <row r="473" spans="6:6">
      <c r="F473" s="113"/>
    </row>
    <row r="474" spans="6:6">
      <c r="F474" s="113"/>
    </row>
    <row r="475" spans="6:6">
      <c r="F475" s="113"/>
    </row>
    <row r="476" spans="6:6">
      <c r="F476" s="113"/>
    </row>
    <row r="477" spans="6:6">
      <c r="F477" s="113"/>
    </row>
    <row r="478" spans="6:6">
      <c r="F478" s="113"/>
    </row>
    <row r="479" spans="6:6">
      <c r="F479" s="113"/>
    </row>
    <row r="480" spans="6:6">
      <c r="F480" s="113"/>
    </row>
    <row r="481" spans="6:6">
      <c r="F481" s="113"/>
    </row>
    <row r="482" spans="6:6">
      <c r="F482" s="113"/>
    </row>
    <row r="483" spans="6:6">
      <c r="F483" s="113"/>
    </row>
    <row r="484" spans="6:6">
      <c r="F484" s="113"/>
    </row>
    <row r="485" spans="6:6">
      <c r="F485" s="113"/>
    </row>
    <row r="486" spans="6:6">
      <c r="F486" s="113"/>
    </row>
    <row r="487" spans="6:6">
      <c r="F487" s="113"/>
    </row>
    <row r="488" spans="6:6">
      <c r="F488" s="113"/>
    </row>
    <row r="489" spans="6:6">
      <c r="F489" s="113"/>
    </row>
    <row r="490" spans="6:6">
      <c r="F490" s="113"/>
    </row>
    <row r="491" spans="6:6">
      <c r="F491" s="113"/>
    </row>
    <row r="492" spans="6:6">
      <c r="F492" s="113"/>
    </row>
    <row r="493" spans="6:6">
      <c r="F493" s="113"/>
    </row>
    <row r="494" spans="6:6">
      <c r="F494" s="113"/>
    </row>
    <row r="495" spans="6:6">
      <c r="F495" s="113"/>
    </row>
    <row r="496" spans="6:6">
      <c r="F496" s="113"/>
    </row>
    <row r="497" spans="6:6">
      <c r="F497" s="113"/>
    </row>
    <row r="498" spans="6:6">
      <c r="F498" s="113"/>
    </row>
    <row r="499" spans="6:6">
      <c r="F499" s="113"/>
    </row>
    <row r="500" spans="6:6">
      <c r="F500" s="113"/>
    </row>
    <row r="501" spans="6:6">
      <c r="F501" s="113"/>
    </row>
    <row r="502" spans="6:6">
      <c r="F502" s="113"/>
    </row>
    <row r="503" spans="6:6">
      <c r="F503" s="113"/>
    </row>
    <row r="504" spans="6:6">
      <c r="F504" s="113"/>
    </row>
    <row r="505" spans="6:6">
      <c r="F505" s="113"/>
    </row>
    <row r="506" spans="6:6">
      <c r="F506" s="113"/>
    </row>
    <row r="507" spans="6:6">
      <c r="F507" s="113"/>
    </row>
    <row r="508" spans="6:6">
      <c r="F508" s="113"/>
    </row>
    <row r="509" spans="6:6">
      <c r="F509" s="113"/>
    </row>
    <row r="510" spans="6:6">
      <c r="F510" s="113"/>
    </row>
    <row r="511" spans="6:6">
      <c r="F511" s="113"/>
    </row>
    <row r="512" spans="6:6">
      <c r="F512" s="113"/>
    </row>
    <row r="513" spans="6:6">
      <c r="F513" s="113"/>
    </row>
    <row r="514" spans="6:6">
      <c r="F514" s="113"/>
    </row>
    <row r="515" spans="6:6">
      <c r="F515" s="113"/>
    </row>
    <row r="516" spans="6:6">
      <c r="F516" s="113"/>
    </row>
    <row r="517" spans="6:6">
      <c r="F517" s="113"/>
    </row>
    <row r="518" spans="6:6">
      <c r="F518" s="113"/>
    </row>
    <row r="519" spans="6:6">
      <c r="F519" s="113"/>
    </row>
    <row r="520" spans="6:6">
      <c r="F520" s="113"/>
    </row>
    <row r="521" spans="6:6">
      <c r="F521" s="113"/>
    </row>
    <row r="522" spans="6:6">
      <c r="F522" s="113"/>
    </row>
    <row r="523" spans="6:6">
      <c r="F523" s="113"/>
    </row>
    <row r="524" spans="6:6">
      <c r="F524" s="113"/>
    </row>
    <row r="525" spans="6:6">
      <c r="F525" s="113"/>
    </row>
    <row r="526" spans="6:6">
      <c r="F526" s="113"/>
    </row>
    <row r="527" spans="6:6">
      <c r="F527" s="113"/>
    </row>
    <row r="528" spans="6:6">
      <c r="F528" s="113"/>
    </row>
    <row r="529" spans="6:6">
      <c r="F529" s="113"/>
    </row>
    <row r="530" spans="6:6">
      <c r="F530" s="113"/>
    </row>
    <row r="531" spans="6:6">
      <c r="F531" s="113"/>
    </row>
    <row r="532" spans="6:6">
      <c r="F532" s="113"/>
    </row>
    <row r="533" spans="6:6">
      <c r="F533" s="113"/>
    </row>
    <row r="534" spans="6:6">
      <c r="F534" s="113"/>
    </row>
    <row r="535" spans="6:6">
      <c r="F535" s="113"/>
    </row>
    <row r="536" spans="6:6">
      <c r="F536" s="113"/>
    </row>
    <row r="537" spans="6:6">
      <c r="F537" s="113"/>
    </row>
    <row r="538" spans="6:6">
      <c r="F538" s="113"/>
    </row>
    <row r="539" spans="6:6">
      <c r="F539" s="113"/>
    </row>
    <row r="540" spans="6:6">
      <c r="F540" s="113"/>
    </row>
    <row r="541" spans="6:6">
      <c r="F541" s="113"/>
    </row>
    <row r="542" spans="6:6">
      <c r="F542" s="113"/>
    </row>
    <row r="543" spans="6:6">
      <c r="F543" s="113"/>
    </row>
    <row r="544" spans="6:6">
      <c r="F544" s="113"/>
    </row>
    <row r="545" spans="6:6">
      <c r="F545" s="113"/>
    </row>
    <row r="546" spans="6:6">
      <c r="F546" s="113"/>
    </row>
    <row r="547" spans="6:6">
      <c r="F547" s="113"/>
    </row>
    <row r="548" spans="6:6">
      <c r="F548" s="113"/>
    </row>
    <row r="549" spans="6:6">
      <c r="F549" s="113"/>
    </row>
    <row r="550" spans="6:6">
      <c r="F550" s="113"/>
    </row>
    <row r="551" spans="6:6">
      <c r="F551" s="113"/>
    </row>
    <row r="552" spans="6:6">
      <c r="F552" s="113"/>
    </row>
    <row r="553" spans="6:6">
      <c r="F553" s="113"/>
    </row>
    <row r="554" spans="6:6">
      <c r="F554" s="113"/>
    </row>
    <row r="555" spans="6:6">
      <c r="F555" s="113"/>
    </row>
    <row r="556" spans="6:6">
      <c r="F556" s="113"/>
    </row>
    <row r="557" spans="6:6">
      <c r="F557" s="113"/>
    </row>
    <row r="558" spans="6:6">
      <c r="F558" s="113"/>
    </row>
    <row r="559" spans="6:6">
      <c r="F559" s="113"/>
    </row>
    <row r="560" spans="6:6">
      <c r="F560" s="113"/>
    </row>
    <row r="561" spans="6:6">
      <c r="F561" s="113"/>
    </row>
    <row r="562" spans="6:6">
      <c r="F562" s="113"/>
    </row>
    <row r="563" spans="6:6">
      <c r="F563" s="113"/>
    </row>
    <row r="564" spans="6:6">
      <c r="F564" s="113"/>
    </row>
    <row r="565" spans="6:6">
      <c r="F565" s="113"/>
    </row>
    <row r="566" spans="6:6">
      <c r="F566" s="113"/>
    </row>
    <row r="567" spans="6:6">
      <c r="F567" s="113"/>
    </row>
    <row r="568" spans="6:6">
      <c r="F568" s="113"/>
    </row>
    <row r="569" spans="6:6">
      <c r="F569" s="113"/>
    </row>
    <row r="570" spans="6:6">
      <c r="F570" s="113"/>
    </row>
    <row r="571" spans="6:6">
      <c r="F571" s="113"/>
    </row>
    <row r="572" spans="6:6">
      <c r="F572" s="113"/>
    </row>
    <row r="573" spans="6:6">
      <c r="F573" s="113"/>
    </row>
    <row r="574" spans="6:6">
      <c r="F574" s="113"/>
    </row>
    <row r="575" spans="6:6">
      <c r="F575" s="113"/>
    </row>
    <row r="576" spans="6:6">
      <c r="F576" s="113"/>
    </row>
    <row r="577" spans="6:6">
      <c r="F577" s="113"/>
    </row>
    <row r="578" spans="6:6">
      <c r="F578" s="113"/>
    </row>
    <row r="579" spans="6:6">
      <c r="F579" s="113"/>
    </row>
    <row r="580" spans="6:6">
      <c r="F580" s="113"/>
    </row>
    <row r="581" spans="6:6">
      <c r="F581" s="113"/>
    </row>
    <row r="582" spans="6:6">
      <c r="F582" s="113"/>
    </row>
    <row r="583" spans="6:6">
      <c r="F583" s="113"/>
    </row>
    <row r="584" spans="6:6">
      <c r="F584" s="113"/>
    </row>
    <row r="585" spans="6:6">
      <c r="F585" s="113"/>
    </row>
    <row r="586" spans="6:6">
      <c r="F586" s="113"/>
    </row>
    <row r="587" spans="6:6">
      <c r="F587" s="113"/>
    </row>
    <row r="588" spans="6:6">
      <c r="F588" s="113"/>
    </row>
    <row r="589" spans="6:6">
      <c r="F589" s="113"/>
    </row>
    <row r="590" spans="6:6">
      <c r="F590" s="113"/>
    </row>
    <row r="591" spans="6:6">
      <c r="F591" s="113"/>
    </row>
    <row r="592" spans="6:6">
      <c r="F592" s="113"/>
    </row>
    <row r="593" spans="6:6">
      <c r="F593" s="113"/>
    </row>
    <row r="594" spans="6:6">
      <c r="F594" s="113"/>
    </row>
    <row r="595" spans="6:6">
      <c r="F595" s="113"/>
    </row>
    <row r="596" spans="6:6">
      <c r="F596" s="113"/>
    </row>
    <row r="597" spans="6:6">
      <c r="F597" s="113"/>
    </row>
    <row r="598" spans="6:6">
      <c r="F598" s="113"/>
    </row>
    <row r="599" spans="6:6">
      <c r="F599" s="113"/>
    </row>
    <row r="600" spans="6:6">
      <c r="F600" s="113"/>
    </row>
    <row r="601" spans="6:6">
      <c r="F601" s="113"/>
    </row>
    <row r="602" spans="6:6">
      <c r="F602" s="113"/>
    </row>
    <row r="603" spans="6:6">
      <c r="F603" s="113"/>
    </row>
    <row r="604" spans="6:6">
      <c r="F604" s="113"/>
    </row>
    <row r="605" spans="6:6">
      <c r="F605" s="113"/>
    </row>
    <row r="606" spans="6:6">
      <c r="F606" s="113"/>
    </row>
    <row r="607" spans="6:6">
      <c r="F607" s="113"/>
    </row>
    <row r="608" spans="6:6">
      <c r="F608" s="113"/>
    </row>
    <row r="609" spans="6:6">
      <c r="F609" s="113"/>
    </row>
    <row r="610" spans="6:6">
      <c r="F610" s="113"/>
    </row>
    <row r="611" spans="6:6">
      <c r="F611" s="113"/>
    </row>
    <row r="612" spans="6:6">
      <c r="F612" s="113"/>
    </row>
    <row r="613" spans="6:6">
      <c r="F613" s="113"/>
    </row>
    <row r="614" spans="6:6">
      <c r="F614" s="113"/>
    </row>
    <row r="615" spans="6:6">
      <c r="F615" s="113"/>
    </row>
    <row r="616" spans="6:6">
      <c r="F616" s="113"/>
    </row>
    <row r="617" spans="6:6">
      <c r="F617" s="113"/>
    </row>
    <row r="618" spans="6:6">
      <c r="F618" s="113"/>
    </row>
    <row r="619" spans="6:6">
      <c r="F619" s="113"/>
    </row>
    <row r="620" spans="6:6">
      <c r="F620" s="113"/>
    </row>
    <row r="621" spans="6:6">
      <c r="F621" s="113"/>
    </row>
    <row r="622" spans="6:6">
      <c r="F622" s="113"/>
    </row>
    <row r="623" spans="6:6">
      <c r="F623" s="113"/>
    </row>
    <row r="624" spans="6:6">
      <c r="F624" s="113"/>
    </row>
    <row r="625" spans="6:6">
      <c r="F625" s="113"/>
    </row>
    <row r="626" spans="6:6">
      <c r="F626" s="113"/>
    </row>
    <row r="627" spans="6:6">
      <c r="F627" s="113"/>
    </row>
    <row r="628" spans="6:6">
      <c r="F628" s="113"/>
    </row>
    <row r="629" spans="6:6">
      <c r="F629" s="113"/>
    </row>
    <row r="630" spans="6:6">
      <c r="F630" s="113"/>
    </row>
    <row r="631" spans="6:6">
      <c r="F631" s="113"/>
    </row>
    <row r="632" spans="6:6">
      <c r="F632" s="113"/>
    </row>
    <row r="633" spans="6:6">
      <c r="F633" s="113"/>
    </row>
    <row r="634" spans="6:6">
      <c r="F634" s="113"/>
    </row>
    <row r="635" spans="6:6">
      <c r="F635" s="113"/>
    </row>
    <row r="636" spans="6:6">
      <c r="F636" s="113"/>
    </row>
    <row r="637" spans="6:6">
      <c r="F637" s="113"/>
    </row>
    <row r="638" spans="6:6">
      <c r="F638" s="113"/>
    </row>
    <row r="639" spans="6:6">
      <c r="F639" s="113"/>
    </row>
    <row r="640" spans="6:6">
      <c r="F640" s="113"/>
    </row>
    <row r="641" spans="6:6">
      <c r="F641" s="113"/>
    </row>
    <row r="642" spans="6:6">
      <c r="F642" s="113"/>
    </row>
    <row r="643" spans="6:6">
      <c r="F643" s="113"/>
    </row>
    <row r="644" spans="6:6">
      <c r="F644" s="113"/>
    </row>
    <row r="645" spans="6:6">
      <c r="F645" s="113"/>
    </row>
    <row r="646" spans="6:6">
      <c r="F646" s="113"/>
    </row>
    <row r="647" spans="6:6">
      <c r="F647" s="113"/>
    </row>
    <row r="648" spans="6:6">
      <c r="F648" s="113"/>
    </row>
    <row r="649" spans="6:6">
      <c r="F649" s="113"/>
    </row>
    <row r="650" spans="6:6">
      <c r="F650" s="113"/>
    </row>
    <row r="651" spans="6:6">
      <c r="F651" s="113"/>
    </row>
    <row r="652" spans="6:6">
      <c r="F652" s="113"/>
    </row>
    <row r="653" spans="6:6">
      <c r="F653" s="113"/>
    </row>
    <row r="654" spans="6:6">
      <c r="F654" s="113"/>
    </row>
    <row r="655" spans="6:6">
      <c r="F655" s="113"/>
    </row>
    <row r="656" spans="6:6">
      <c r="F656" s="113"/>
    </row>
    <row r="657" spans="6:6">
      <c r="F657" s="113"/>
    </row>
    <row r="658" spans="6:6">
      <c r="F658" s="113"/>
    </row>
    <row r="659" spans="6:6">
      <c r="F659" s="113"/>
    </row>
    <row r="660" spans="6:6">
      <c r="F660" s="113"/>
    </row>
    <row r="661" spans="6:6">
      <c r="F661" s="113"/>
    </row>
    <row r="662" spans="6:6">
      <c r="F662" s="113"/>
    </row>
    <row r="663" spans="6:6">
      <c r="F663" s="113"/>
    </row>
    <row r="664" spans="6:6">
      <c r="F664" s="113"/>
    </row>
    <row r="665" spans="6:6">
      <c r="F665" s="113"/>
    </row>
    <row r="666" spans="6:6">
      <c r="F666" s="113"/>
    </row>
    <row r="667" spans="6:6">
      <c r="F667" s="113"/>
    </row>
    <row r="668" spans="6:6">
      <c r="F668" s="113"/>
    </row>
    <row r="669" spans="6:6">
      <c r="F669" s="113"/>
    </row>
    <row r="670" spans="6:6">
      <c r="F670" s="113"/>
    </row>
    <row r="671" spans="6:6">
      <c r="F671" s="113"/>
    </row>
    <row r="672" spans="6:6">
      <c r="F672" s="113"/>
    </row>
    <row r="673" spans="6:6">
      <c r="F673" s="113"/>
    </row>
    <row r="674" spans="6:6">
      <c r="F674" s="113"/>
    </row>
    <row r="675" spans="6:6">
      <c r="F675" s="113"/>
    </row>
    <row r="676" spans="6:6">
      <c r="F676" s="113"/>
    </row>
    <row r="677" spans="6:6">
      <c r="F677" s="113"/>
    </row>
    <row r="678" spans="6:6">
      <c r="F678" s="113"/>
    </row>
    <row r="679" spans="6:6">
      <c r="F679" s="113"/>
    </row>
    <row r="680" spans="6:6">
      <c r="F680" s="113"/>
    </row>
    <row r="681" spans="6:6">
      <c r="F681" s="113"/>
    </row>
    <row r="682" spans="6:6">
      <c r="F682" s="113"/>
    </row>
    <row r="683" spans="6:6">
      <c r="F683" s="113"/>
    </row>
    <row r="684" spans="6:6">
      <c r="F684" s="113"/>
    </row>
    <row r="685" spans="6:6">
      <c r="F685" s="113"/>
    </row>
    <row r="686" spans="6:6">
      <c r="F686" s="113"/>
    </row>
    <row r="687" spans="6:6">
      <c r="F687" s="113"/>
    </row>
    <row r="688" spans="6:6">
      <c r="F688" s="113"/>
    </row>
    <row r="689" spans="6:6">
      <c r="F689" s="113"/>
    </row>
    <row r="690" spans="6:6">
      <c r="F690" s="113"/>
    </row>
    <row r="691" spans="6:6">
      <c r="F691" s="113"/>
    </row>
    <row r="692" spans="6:6">
      <c r="F692" s="113"/>
    </row>
    <row r="693" spans="6:6">
      <c r="F693" s="113"/>
    </row>
    <row r="694" spans="6:6">
      <c r="F694" s="113"/>
    </row>
    <row r="695" spans="6:6">
      <c r="F695" s="113"/>
    </row>
    <row r="696" spans="6:6">
      <c r="F696" s="113"/>
    </row>
    <row r="697" spans="6:6">
      <c r="F697" s="113"/>
    </row>
    <row r="698" spans="6:6">
      <c r="F698" s="113"/>
    </row>
    <row r="699" spans="6:6">
      <c r="F699" s="113"/>
    </row>
    <row r="700" spans="6:6">
      <c r="F700" s="113"/>
    </row>
    <row r="701" spans="6:6">
      <c r="F701" s="113"/>
    </row>
    <row r="702" spans="6:6">
      <c r="F702" s="113"/>
    </row>
    <row r="703" spans="6:6">
      <c r="F703" s="113"/>
    </row>
    <row r="704" spans="6:6">
      <c r="F704" s="113"/>
    </row>
    <row r="705" spans="6:6">
      <c r="F705" s="113"/>
    </row>
    <row r="706" spans="6:6">
      <c r="F706" s="113"/>
    </row>
    <row r="707" spans="6:6">
      <c r="F707" s="113"/>
    </row>
    <row r="708" spans="6:6">
      <c r="F708" s="113"/>
    </row>
    <row r="709" spans="6:6">
      <c r="F709" s="113"/>
    </row>
    <row r="710" spans="6:6">
      <c r="F710" s="113"/>
    </row>
    <row r="711" spans="6:6">
      <c r="F711" s="113"/>
    </row>
    <row r="712" spans="6:6">
      <c r="F712" s="113"/>
    </row>
    <row r="713" spans="6:6">
      <c r="F713" s="113"/>
    </row>
    <row r="714" spans="6:6">
      <c r="F714" s="113"/>
    </row>
    <row r="715" spans="6:6">
      <c r="F715" s="113"/>
    </row>
    <row r="716" spans="6:6">
      <c r="F716" s="113"/>
    </row>
    <row r="717" spans="6:6">
      <c r="F717" s="113"/>
    </row>
    <row r="718" spans="6:6">
      <c r="F718" s="113"/>
    </row>
    <row r="719" spans="6:6">
      <c r="F719" s="113"/>
    </row>
    <row r="720" spans="6:6">
      <c r="F720" s="113"/>
    </row>
    <row r="721" spans="6:6">
      <c r="F721" s="113"/>
    </row>
    <row r="722" spans="6:6">
      <c r="F722" s="113"/>
    </row>
    <row r="723" spans="6:6">
      <c r="F723" s="113"/>
    </row>
    <row r="724" spans="6:6">
      <c r="F724" s="113"/>
    </row>
    <row r="725" spans="6:6">
      <c r="F725" s="113"/>
    </row>
    <row r="726" spans="6:6">
      <c r="F726" s="113"/>
    </row>
    <row r="727" spans="6:6">
      <c r="F727" s="113"/>
    </row>
    <row r="728" spans="6:6">
      <c r="F728" s="113"/>
    </row>
    <row r="729" spans="6:6">
      <c r="F729" s="113"/>
    </row>
    <row r="730" spans="6:6">
      <c r="F730" s="113"/>
    </row>
    <row r="731" spans="6:6">
      <c r="F731" s="113"/>
    </row>
    <row r="732" spans="6:6">
      <c r="F732" s="113"/>
    </row>
    <row r="733" spans="6:6">
      <c r="F733" s="113"/>
    </row>
    <row r="734" spans="6:6">
      <c r="F734" s="113"/>
    </row>
    <row r="735" spans="6:6">
      <c r="F735" s="113"/>
    </row>
    <row r="736" spans="6:6">
      <c r="F736" s="113"/>
    </row>
    <row r="737" spans="6:6">
      <c r="F737" s="113"/>
    </row>
    <row r="738" spans="6:6">
      <c r="F738" s="113"/>
    </row>
    <row r="739" spans="6:6">
      <c r="F739" s="113"/>
    </row>
    <row r="740" spans="6:6">
      <c r="F740" s="113"/>
    </row>
    <row r="741" spans="6:6">
      <c r="F741" s="113"/>
    </row>
    <row r="742" spans="6:6">
      <c r="F742" s="113"/>
    </row>
    <row r="743" spans="6:6">
      <c r="F743" s="113"/>
    </row>
    <row r="744" spans="6:6">
      <c r="F744" s="113"/>
    </row>
    <row r="745" spans="6:6">
      <c r="F745" s="113"/>
    </row>
    <row r="746" spans="6:6">
      <c r="F746" s="113"/>
    </row>
    <row r="747" spans="6:6">
      <c r="F747" s="113"/>
    </row>
    <row r="748" spans="6:6">
      <c r="F748" s="113"/>
    </row>
    <row r="749" spans="6:6">
      <c r="F749" s="113"/>
    </row>
    <row r="750" spans="6:6">
      <c r="F750" s="113"/>
    </row>
    <row r="751" spans="6:6">
      <c r="F751" s="113"/>
    </row>
    <row r="752" spans="6:6">
      <c r="F752" s="113"/>
    </row>
    <row r="753" spans="6:6">
      <c r="F753" s="113"/>
    </row>
    <row r="754" spans="6:6">
      <c r="F754" s="113"/>
    </row>
    <row r="755" spans="6:6">
      <c r="F755" s="113"/>
    </row>
    <row r="756" spans="6:6">
      <c r="F756" s="113"/>
    </row>
    <row r="757" spans="6:6">
      <c r="F757" s="113"/>
    </row>
    <row r="758" spans="6:6">
      <c r="F758" s="113"/>
    </row>
    <row r="759" spans="6:6">
      <c r="F759" s="113"/>
    </row>
    <row r="760" spans="6:6">
      <c r="F760" s="113"/>
    </row>
    <row r="761" spans="6:6">
      <c r="F761" s="113"/>
    </row>
    <row r="762" spans="6:6">
      <c r="F762" s="113"/>
    </row>
    <row r="763" spans="6:6">
      <c r="F763" s="113"/>
    </row>
    <row r="764" spans="6:6">
      <c r="F764" s="113"/>
    </row>
    <row r="765" spans="6:6">
      <c r="F765" s="113"/>
    </row>
    <row r="766" spans="6:6">
      <c r="F766" s="113"/>
    </row>
    <row r="767" spans="6:6">
      <c r="F767" s="113"/>
    </row>
    <row r="768" spans="6:6">
      <c r="F768" s="113"/>
    </row>
    <row r="769" spans="6:6">
      <c r="F769" s="113"/>
    </row>
    <row r="770" spans="6:6">
      <c r="F770" s="113"/>
    </row>
    <row r="771" spans="6:6">
      <c r="F771" s="113"/>
    </row>
    <row r="772" spans="6:6">
      <c r="F772" s="113"/>
    </row>
    <row r="773" spans="6:6">
      <c r="F773" s="113"/>
    </row>
    <row r="774" spans="6:6">
      <c r="F774" s="113"/>
    </row>
    <row r="775" spans="6:6">
      <c r="F775" s="113"/>
    </row>
    <row r="776" spans="6:6">
      <c r="F776" s="113"/>
    </row>
    <row r="777" spans="6:6">
      <c r="F777" s="113"/>
    </row>
    <row r="778" spans="6:6">
      <c r="F778" s="113"/>
    </row>
    <row r="779" spans="6:6">
      <c r="F779" s="113"/>
    </row>
    <row r="780" spans="6:6">
      <c r="F780" s="113"/>
    </row>
    <row r="781" spans="6:6">
      <c r="F781" s="113"/>
    </row>
    <row r="782" spans="6:6">
      <c r="F782" s="113"/>
    </row>
    <row r="783" spans="6:6">
      <c r="F783" s="113"/>
    </row>
    <row r="784" spans="6:6">
      <c r="F784" s="113"/>
    </row>
    <row r="785" spans="6:6">
      <c r="F785" s="113"/>
    </row>
    <row r="786" spans="6:6">
      <c r="F786" s="113"/>
    </row>
    <row r="787" spans="6:6">
      <c r="F787" s="113"/>
    </row>
    <row r="788" spans="6:6">
      <c r="F788" s="113"/>
    </row>
    <row r="789" spans="6:6">
      <c r="F789" s="113"/>
    </row>
    <row r="790" spans="6:6">
      <c r="F790" s="113"/>
    </row>
    <row r="791" spans="6:6">
      <c r="F791" s="113"/>
    </row>
    <row r="792" spans="6:6">
      <c r="F792" s="113"/>
    </row>
    <row r="793" spans="6:6">
      <c r="F793" s="113"/>
    </row>
    <row r="794" spans="6:6">
      <c r="F794" s="113"/>
    </row>
    <row r="795" spans="6:6">
      <c r="F795" s="113"/>
    </row>
    <row r="796" spans="6:6">
      <c r="F796" s="113"/>
    </row>
    <row r="797" spans="6:6">
      <c r="F797" s="113"/>
    </row>
    <row r="798" spans="6:6">
      <c r="F798" s="113"/>
    </row>
    <row r="799" spans="6:6">
      <c r="F799" s="113"/>
    </row>
    <row r="800" spans="6:6">
      <c r="F800" s="113"/>
    </row>
    <row r="801" spans="6:6">
      <c r="F801" s="113"/>
    </row>
    <row r="802" spans="6:6">
      <c r="F802" s="113"/>
    </row>
    <row r="803" spans="6:6">
      <c r="F803" s="113"/>
    </row>
    <row r="804" spans="6:6">
      <c r="F804" s="113"/>
    </row>
    <row r="805" spans="6:6">
      <c r="F805" s="113"/>
    </row>
    <row r="806" spans="6:6">
      <c r="F806" s="113"/>
    </row>
    <row r="807" spans="6:6">
      <c r="F807" s="113"/>
    </row>
    <row r="808" spans="6:6">
      <c r="F808" s="113"/>
    </row>
    <row r="809" spans="6:6">
      <c r="F809" s="113"/>
    </row>
    <row r="810" spans="6:6">
      <c r="F810" s="113"/>
    </row>
    <row r="811" spans="6:6">
      <c r="F811" s="113"/>
    </row>
    <row r="812" spans="6:6">
      <c r="F812" s="113"/>
    </row>
    <row r="813" spans="6:6">
      <c r="F813" s="113"/>
    </row>
    <row r="814" spans="6:6">
      <c r="F814" s="113"/>
    </row>
    <row r="815" spans="6:6">
      <c r="F815" s="113"/>
    </row>
    <row r="816" spans="6:6">
      <c r="F816" s="113"/>
    </row>
    <row r="817" spans="6:6">
      <c r="F817" s="113"/>
    </row>
    <row r="818" spans="6:6">
      <c r="F818" s="113"/>
    </row>
    <row r="819" spans="6:6">
      <c r="F819" s="113"/>
    </row>
    <row r="820" spans="6:6">
      <c r="F820" s="113"/>
    </row>
    <row r="821" spans="6:6">
      <c r="F821" s="113"/>
    </row>
    <row r="822" spans="6:6">
      <c r="F822" s="113"/>
    </row>
    <row r="823" spans="6:6">
      <c r="F823" s="113"/>
    </row>
    <row r="824" spans="6:6">
      <c r="F824" s="113"/>
    </row>
    <row r="825" spans="6:6">
      <c r="F825" s="113"/>
    </row>
    <row r="826" spans="6:6">
      <c r="F826" s="113"/>
    </row>
    <row r="827" spans="6:6">
      <c r="F827" s="113"/>
    </row>
    <row r="828" spans="6:6">
      <c r="F828" s="113"/>
    </row>
    <row r="829" spans="6:6">
      <c r="F829" s="113"/>
    </row>
    <row r="830" spans="6:6">
      <c r="F830" s="113"/>
    </row>
    <row r="831" spans="6:6">
      <c r="F831" s="113"/>
    </row>
    <row r="832" spans="6:6">
      <c r="F832" s="113"/>
    </row>
    <row r="833" spans="6:6">
      <c r="F833" s="113"/>
    </row>
    <row r="834" spans="6:6">
      <c r="F834" s="113"/>
    </row>
    <row r="835" spans="6:6">
      <c r="F835" s="113"/>
    </row>
    <row r="836" spans="6:6">
      <c r="F836" s="113"/>
    </row>
    <row r="837" spans="6:6">
      <c r="F837" s="113"/>
    </row>
    <row r="838" spans="6:6">
      <c r="F838" s="113"/>
    </row>
    <row r="839" spans="6:6">
      <c r="F839" s="113"/>
    </row>
    <row r="840" spans="6:6">
      <c r="F840" s="113"/>
    </row>
    <row r="841" spans="6:6">
      <c r="F841" s="113"/>
    </row>
    <row r="842" spans="6:6">
      <c r="F842" s="113"/>
    </row>
    <row r="843" spans="6:6">
      <c r="F843" s="113"/>
    </row>
    <row r="844" spans="6:6">
      <c r="F844" s="113"/>
    </row>
    <row r="845" spans="6:6">
      <c r="F845" s="113"/>
    </row>
    <row r="846" spans="6:6">
      <c r="F846" s="113"/>
    </row>
    <row r="847" spans="6:6">
      <c r="F847" s="113"/>
    </row>
    <row r="848" spans="6:6">
      <c r="F848" s="113"/>
    </row>
    <row r="849" spans="6:6">
      <c r="F849" s="113"/>
    </row>
    <row r="850" spans="6:6">
      <c r="F850" s="113"/>
    </row>
    <row r="851" spans="6:6">
      <c r="F851" s="113"/>
    </row>
    <row r="852" spans="6:6">
      <c r="F852" s="113"/>
    </row>
    <row r="853" spans="6:6">
      <c r="F853" s="113"/>
    </row>
    <row r="854" spans="6:6">
      <c r="F854" s="113"/>
    </row>
    <row r="855" spans="6:6">
      <c r="F855" s="113"/>
    </row>
    <row r="856" spans="6:6">
      <c r="F856" s="113"/>
    </row>
    <row r="857" spans="6:6">
      <c r="F857" s="113"/>
    </row>
    <row r="858" spans="6:6">
      <c r="F858" s="113"/>
    </row>
    <row r="859" spans="6:6">
      <c r="F859" s="113"/>
    </row>
    <row r="860" spans="6:6">
      <c r="F860" s="113"/>
    </row>
    <row r="861" spans="6:6">
      <c r="F861" s="113"/>
    </row>
    <row r="862" spans="6:6">
      <c r="F862" s="113"/>
    </row>
    <row r="863" spans="6:6">
      <c r="F863" s="113"/>
    </row>
    <row r="864" spans="6:6">
      <c r="F864" s="113"/>
    </row>
    <row r="865" spans="6:6">
      <c r="F865" s="113"/>
    </row>
    <row r="866" spans="6:6">
      <c r="F866" s="113"/>
    </row>
    <row r="867" spans="6:6">
      <c r="F867" s="113"/>
    </row>
    <row r="868" spans="6:6">
      <c r="F868" s="113"/>
    </row>
    <row r="869" spans="6:6">
      <c r="F869" s="113"/>
    </row>
    <row r="870" spans="6:6">
      <c r="F870" s="113"/>
    </row>
    <row r="871" spans="6:6">
      <c r="F871" s="113"/>
    </row>
    <row r="872" spans="6:6">
      <c r="F872" s="113"/>
    </row>
    <row r="873" spans="6:6">
      <c r="F873" s="113"/>
    </row>
    <row r="874" spans="6:6">
      <c r="F874" s="113"/>
    </row>
    <row r="875" spans="6:6">
      <c r="F875" s="113"/>
    </row>
    <row r="876" spans="6:6">
      <c r="F876" s="113"/>
    </row>
    <row r="877" spans="6:6">
      <c r="F877" s="113"/>
    </row>
    <row r="878" spans="6:6">
      <c r="F878" s="113"/>
    </row>
    <row r="879" spans="6:6">
      <c r="F879" s="113"/>
    </row>
    <row r="880" spans="6:6">
      <c r="F880" s="113"/>
    </row>
    <row r="881" spans="6:6">
      <c r="F881" s="113"/>
    </row>
    <row r="882" spans="6:6">
      <c r="F882" s="113"/>
    </row>
    <row r="883" spans="6:6">
      <c r="F883" s="113"/>
    </row>
    <row r="884" spans="6:6">
      <c r="F884" s="113"/>
    </row>
    <row r="885" spans="6:6">
      <c r="F885" s="113"/>
    </row>
    <row r="886" spans="6:6">
      <c r="F886" s="113"/>
    </row>
    <row r="887" spans="6:6">
      <c r="F887" s="113"/>
    </row>
    <row r="888" spans="6:6">
      <c r="F888" s="113"/>
    </row>
    <row r="889" spans="6:6">
      <c r="F889" s="113"/>
    </row>
    <row r="890" spans="6:6">
      <c r="F890" s="113"/>
    </row>
    <row r="891" spans="6:6">
      <c r="F891" s="113"/>
    </row>
    <row r="892" spans="6:6">
      <c r="F892" s="113"/>
    </row>
    <row r="893" spans="6:6">
      <c r="F893" s="113"/>
    </row>
    <row r="894" spans="6:6">
      <c r="F894" s="113"/>
    </row>
    <row r="895" spans="6:6">
      <c r="F895" s="113"/>
    </row>
    <row r="896" spans="6:6">
      <c r="F896" s="113"/>
    </row>
    <row r="897" spans="6:7">
      <c r="F897" s="113"/>
    </row>
    <row r="898" spans="6:7">
      <c r="F898" s="113"/>
    </row>
    <row r="899" spans="6:7">
      <c r="F899" s="113"/>
    </row>
    <row r="900" spans="6:7">
      <c r="F900" s="113"/>
    </row>
    <row r="901" spans="6:7">
      <c r="F901" s="113"/>
    </row>
    <row r="902" spans="6:7">
      <c r="F902" s="113"/>
    </row>
    <row r="903" spans="6:7">
      <c r="F903" s="113"/>
    </row>
    <row r="904" spans="6:7">
      <c r="F904" s="113"/>
    </row>
    <row r="905" spans="6:7">
      <c r="F905" s="113"/>
    </row>
    <row r="906" spans="6:7">
      <c r="F906" s="113"/>
    </row>
    <row r="907" spans="6:7">
      <c r="F907" s="113"/>
    </row>
    <row r="908" spans="6:7">
      <c r="F908" s="113"/>
    </row>
    <row r="909" spans="6:7">
      <c r="F909" s="113"/>
      <c r="G909" s="108"/>
    </row>
    <row r="910" spans="6:7">
      <c r="F910" s="113"/>
    </row>
    <row r="911" spans="6:7">
      <c r="F911" s="113"/>
    </row>
    <row r="912" spans="6:7">
      <c r="F912" s="113"/>
    </row>
    <row r="913" spans="6:6">
      <c r="F913" s="113"/>
    </row>
    <row r="914" spans="6:6">
      <c r="F914" s="113"/>
    </row>
    <row r="915" spans="6:6">
      <c r="F915" s="113"/>
    </row>
    <row r="916" spans="6:6">
      <c r="F916" s="113"/>
    </row>
    <row r="917" spans="6:6">
      <c r="F917" s="113"/>
    </row>
    <row r="918" spans="6:6">
      <c r="F918" s="113"/>
    </row>
    <row r="919" spans="6:6">
      <c r="F919" s="113"/>
    </row>
    <row r="920" spans="6:6">
      <c r="F920" s="113"/>
    </row>
    <row r="921" spans="6:6">
      <c r="F921" s="113"/>
    </row>
    <row r="922" spans="6:6">
      <c r="F922" s="113"/>
    </row>
    <row r="923" spans="6:6">
      <c r="F923" s="113"/>
    </row>
    <row r="924" spans="6:6">
      <c r="F924" s="113"/>
    </row>
    <row r="925" spans="6:6">
      <c r="F925" s="113"/>
    </row>
    <row r="926" spans="6:6">
      <c r="F926" s="113"/>
    </row>
    <row r="927" spans="6:6">
      <c r="F927" s="113"/>
    </row>
    <row r="928" spans="6:6">
      <c r="F928" s="113"/>
    </row>
    <row r="929" spans="6:6">
      <c r="F929" s="113"/>
    </row>
    <row r="930" spans="6:6">
      <c r="F930" s="113"/>
    </row>
    <row r="931" spans="6:6">
      <c r="F931" s="113"/>
    </row>
    <row r="932" spans="6:6">
      <c r="F932" s="113"/>
    </row>
    <row r="933" spans="6:6">
      <c r="F933" s="113"/>
    </row>
    <row r="934" spans="6:6">
      <c r="F934" s="113"/>
    </row>
    <row r="935" spans="6:6">
      <c r="F935" s="113"/>
    </row>
    <row r="936" spans="6:6">
      <c r="F936" s="113"/>
    </row>
    <row r="937" spans="6:6">
      <c r="F937" s="113"/>
    </row>
    <row r="938" spans="6:6">
      <c r="F938" s="113"/>
    </row>
    <row r="939" spans="6:6">
      <c r="F939" s="113"/>
    </row>
    <row r="940" spans="6:6">
      <c r="F940" s="113"/>
    </row>
    <row r="941" spans="6:6">
      <c r="F941" s="113"/>
    </row>
    <row r="942" spans="6:6">
      <c r="F942" s="113"/>
    </row>
    <row r="943" spans="6:6">
      <c r="F943" s="113"/>
    </row>
    <row r="944" spans="6:6">
      <c r="F944" s="113"/>
    </row>
    <row r="945" spans="6:7">
      <c r="F945" s="113"/>
    </row>
    <row r="946" spans="6:7">
      <c r="F946" s="113"/>
    </row>
    <row r="947" spans="6:7">
      <c r="F947" s="113"/>
    </row>
    <row r="948" spans="6:7">
      <c r="F948" s="113"/>
    </row>
    <row r="949" spans="6:7">
      <c r="F949" s="113"/>
      <c r="G949" s="109"/>
    </row>
    <row r="950" spans="6:7">
      <c r="F950" s="113"/>
    </row>
    <row r="951" spans="6:7">
      <c r="F951" s="113"/>
    </row>
    <row r="952" spans="6:7">
      <c r="F952" s="113"/>
    </row>
    <row r="953" spans="6:7">
      <c r="F953" s="113"/>
    </row>
    <row r="954" spans="6:7">
      <c r="F954" s="113"/>
    </row>
    <row r="955" spans="6:7">
      <c r="F955" s="113"/>
    </row>
    <row r="956" spans="6:7">
      <c r="F956" s="113"/>
    </row>
    <row r="957" spans="6:7">
      <c r="F957" s="113"/>
    </row>
    <row r="958" spans="6:7">
      <c r="F958" s="113"/>
    </row>
    <row r="959" spans="6:7">
      <c r="F959" s="113"/>
    </row>
    <row r="960" spans="6:7">
      <c r="F960" s="113"/>
    </row>
    <row r="961" spans="6:6">
      <c r="F961" s="113"/>
    </row>
    <row r="962" spans="6:6">
      <c r="F962" s="113"/>
    </row>
    <row r="963" spans="6:6">
      <c r="F963" s="113"/>
    </row>
    <row r="964" spans="6:6">
      <c r="F964" s="113"/>
    </row>
    <row r="965" spans="6:6">
      <c r="F965" s="113"/>
    </row>
    <row r="966" spans="6:6">
      <c r="F966" s="113"/>
    </row>
    <row r="967" spans="6:6">
      <c r="F967" s="113"/>
    </row>
    <row r="968" spans="6:6">
      <c r="F968" s="113"/>
    </row>
    <row r="969" spans="6:6">
      <c r="F969" s="113"/>
    </row>
    <row r="970" spans="6:6">
      <c r="F970" s="113"/>
    </row>
    <row r="971" spans="6:6">
      <c r="F971" s="113"/>
    </row>
    <row r="972" spans="6:6">
      <c r="F972" s="113"/>
    </row>
    <row r="973" spans="6:6">
      <c r="F973" s="113"/>
    </row>
    <row r="974" spans="6:6">
      <c r="F974" s="113"/>
    </row>
    <row r="975" spans="6:6">
      <c r="F975" s="113"/>
    </row>
    <row r="976" spans="6:6">
      <c r="F976" s="113"/>
    </row>
    <row r="977" spans="6:6">
      <c r="F977" s="113"/>
    </row>
    <row r="978" spans="6:6">
      <c r="F978" s="113"/>
    </row>
    <row r="979" spans="6:6">
      <c r="F979" s="113"/>
    </row>
    <row r="980" spans="6:6">
      <c r="F980" s="113"/>
    </row>
    <row r="981" spans="6:6">
      <c r="F981" s="113"/>
    </row>
    <row r="982" spans="6:6">
      <c r="F982" s="113"/>
    </row>
    <row r="983" spans="6:6">
      <c r="F983" s="113"/>
    </row>
    <row r="984" spans="6:6">
      <c r="F984" s="113"/>
    </row>
    <row r="985" spans="6:6">
      <c r="F985" s="113"/>
    </row>
    <row r="986" spans="6:6">
      <c r="F986" s="113"/>
    </row>
    <row r="987" spans="6:6">
      <c r="F987" s="113"/>
    </row>
    <row r="988" spans="6:6">
      <c r="F988" s="113"/>
    </row>
    <row r="989" spans="6:6">
      <c r="F989" s="113"/>
    </row>
    <row r="990" spans="6:6">
      <c r="F990" s="113"/>
    </row>
    <row r="991" spans="6:6">
      <c r="F991" s="113"/>
    </row>
    <row r="992" spans="6:6">
      <c r="F992" s="113"/>
    </row>
    <row r="993" spans="6:6">
      <c r="F993" s="113"/>
    </row>
    <row r="994" spans="6:6">
      <c r="F994" s="113"/>
    </row>
    <row r="995" spans="6:6">
      <c r="F995" s="113"/>
    </row>
    <row r="996" spans="6:6">
      <c r="F996" s="113"/>
    </row>
    <row r="997" spans="6:6">
      <c r="F997" s="113"/>
    </row>
    <row r="998" spans="6:6">
      <c r="F998" s="113"/>
    </row>
    <row r="999" spans="6:6">
      <c r="F999" s="113"/>
    </row>
    <row r="1000" spans="6:6">
      <c r="F1000" s="113"/>
    </row>
    <row r="1001" spans="6:6">
      <c r="F1001" s="113"/>
    </row>
    <row r="1002" spans="6:6">
      <c r="F1002" s="113"/>
    </row>
    <row r="1003" spans="6:6">
      <c r="F1003" s="113"/>
    </row>
    <row r="1004" spans="6:6">
      <c r="F1004" s="113"/>
    </row>
    <row r="1005" spans="6:6">
      <c r="F1005" s="113"/>
    </row>
    <row r="1006" spans="6:6">
      <c r="F1006" s="113"/>
    </row>
    <row r="1007" spans="6:6">
      <c r="F1007" s="113"/>
    </row>
    <row r="1008" spans="6:6">
      <c r="F1008" s="113"/>
    </row>
    <row r="1009" spans="6:6">
      <c r="F1009" s="113"/>
    </row>
    <row r="1010" spans="6:6">
      <c r="F1010" s="113"/>
    </row>
    <row r="1011" spans="6:6">
      <c r="F1011" s="113"/>
    </row>
    <row r="1012" spans="6:6">
      <c r="F1012" s="113"/>
    </row>
    <row r="1013" spans="6:6">
      <c r="F1013" s="113"/>
    </row>
    <row r="1014" spans="6:6">
      <c r="F1014" s="113"/>
    </row>
    <row r="1015" spans="6:6">
      <c r="F1015" s="113"/>
    </row>
    <row r="1016" spans="6:6">
      <c r="F1016" s="113"/>
    </row>
    <row r="1017" spans="6:6">
      <c r="F1017" s="113"/>
    </row>
    <row r="1018" spans="6:6">
      <c r="F1018" s="113"/>
    </row>
    <row r="1019" spans="6:6">
      <c r="F1019" s="113"/>
    </row>
    <row r="1020" spans="6:6">
      <c r="F1020" s="113"/>
    </row>
    <row r="1021" spans="6:6">
      <c r="F1021" s="113"/>
    </row>
    <row r="1022" spans="6:6">
      <c r="F1022" s="113"/>
    </row>
    <row r="1023" spans="6:6">
      <c r="F1023" s="113"/>
    </row>
    <row r="1024" spans="6:6">
      <c r="F1024" s="113"/>
    </row>
    <row r="1025" spans="6:6">
      <c r="F1025" s="113"/>
    </row>
    <row r="1026" spans="6:6">
      <c r="F1026" s="113"/>
    </row>
    <row r="1027" spans="6:6">
      <c r="F1027" s="113"/>
    </row>
    <row r="1028" spans="6:6">
      <c r="F1028" s="113"/>
    </row>
    <row r="1029" spans="6:6">
      <c r="F1029" s="113"/>
    </row>
    <row r="1030" spans="6:6">
      <c r="F1030" s="113"/>
    </row>
    <row r="1031" spans="6:6">
      <c r="F1031" s="113"/>
    </row>
    <row r="1032" spans="6:6">
      <c r="F1032" s="113"/>
    </row>
    <row r="1033" spans="6:6">
      <c r="F1033" s="113"/>
    </row>
    <row r="1034" spans="6:6">
      <c r="F1034" s="113"/>
    </row>
    <row r="1035" spans="6:6">
      <c r="F1035" s="113"/>
    </row>
    <row r="1036" spans="6:6">
      <c r="F1036" s="113"/>
    </row>
    <row r="1037" spans="6:6">
      <c r="F1037" s="113"/>
    </row>
    <row r="1038" spans="6:6">
      <c r="F1038" s="113"/>
    </row>
    <row r="1039" spans="6:6">
      <c r="F1039" s="113"/>
    </row>
    <row r="1040" spans="6:6">
      <c r="F1040" s="113"/>
    </row>
    <row r="1041" spans="6:6">
      <c r="F1041" s="113"/>
    </row>
    <row r="1042" spans="6:6">
      <c r="F1042" s="113"/>
    </row>
    <row r="1043" spans="6:6">
      <c r="F1043" s="113"/>
    </row>
    <row r="1044" spans="6:6">
      <c r="F1044" s="113"/>
    </row>
    <row r="1045" spans="6:6">
      <c r="F1045" s="113"/>
    </row>
    <row r="1046" spans="6:6">
      <c r="F1046" s="113"/>
    </row>
    <row r="1047" spans="6:6">
      <c r="F1047" s="113"/>
    </row>
    <row r="1048" spans="6:6">
      <c r="F1048" s="113"/>
    </row>
    <row r="1049" spans="6:6">
      <c r="F1049" s="113"/>
    </row>
    <row r="1050" spans="6:6">
      <c r="F1050" s="113"/>
    </row>
    <row r="1051" spans="6:6">
      <c r="F1051" s="113"/>
    </row>
    <row r="1052" spans="6:6">
      <c r="F1052" s="113"/>
    </row>
    <row r="1053" spans="6:6">
      <c r="F1053" s="113"/>
    </row>
    <row r="1054" spans="6:6">
      <c r="F1054" s="113"/>
    </row>
    <row r="1055" spans="6:6">
      <c r="F1055" s="113"/>
    </row>
    <row r="1056" spans="6:6">
      <c r="F1056" s="113"/>
    </row>
    <row r="1057" spans="6:6">
      <c r="F1057" s="113"/>
    </row>
    <row r="1058" spans="6:6">
      <c r="F1058" s="113"/>
    </row>
    <row r="1059" spans="6:6">
      <c r="F1059" s="113"/>
    </row>
    <row r="1060" spans="6:6">
      <c r="F1060" s="113"/>
    </row>
    <row r="1061" spans="6:6">
      <c r="F1061" s="113"/>
    </row>
    <row r="1062" spans="6:6">
      <c r="F1062" s="113"/>
    </row>
    <row r="1063" spans="6:6">
      <c r="F1063" s="113"/>
    </row>
    <row r="1064" spans="6:6">
      <c r="F1064" s="113"/>
    </row>
    <row r="1065" spans="6:6">
      <c r="F1065" s="113"/>
    </row>
    <row r="1066" spans="6:6">
      <c r="F1066" s="113"/>
    </row>
    <row r="1067" spans="6:6">
      <c r="F1067" s="113"/>
    </row>
    <row r="1068" spans="6:6">
      <c r="F1068" s="113"/>
    </row>
    <row r="1069" spans="6:6">
      <c r="F1069" s="113"/>
    </row>
    <row r="1070" spans="6:6">
      <c r="F1070" s="113"/>
    </row>
    <row r="1071" spans="6:6">
      <c r="F1071" s="113"/>
    </row>
    <row r="1072" spans="6:6">
      <c r="F1072" s="113"/>
    </row>
    <row r="1073" spans="6:6">
      <c r="F1073" s="113"/>
    </row>
    <row r="1074" spans="6:6">
      <c r="F1074" s="113"/>
    </row>
    <row r="1075" spans="6:6">
      <c r="F1075" s="113"/>
    </row>
    <row r="1076" spans="6:6">
      <c r="F1076" s="113"/>
    </row>
    <row r="1077" spans="6:6">
      <c r="F1077" s="113"/>
    </row>
    <row r="1078" spans="6:6">
      <c r="F1078" s="113"/>
    </row>
    <row r="1079" spans="6:6">
      <c r="F1079" s="113"/>
    </row>
    <row r="1080" spans="6:6">
      <c r="F1080" s="113"/>
    </row>
    <row r="1081" spans="6:6">
      <c r="F1081" s="113"/>
    </row>
    <row r="1082" spans="6:6">
      <c r="F1082" s="113"/>
    </row>
    <row r="1083" spans="6:6">
      <c r="F1083" s="113"/>
    </row>
    <row r="1084" spans="6:6">
      <c r="F1084" s="113"/>
    </row>
    <row r="1085" spans="6:6">
      <c r="F1085" s="113"/>
    </row>
    <row r="1086" spans="6:6">
      <c r="F1086" s="113"/>
    </row>
    <row r="1087" spans="6:6">
      <c r="F1087" s="113"/>
    </row>
    <row r="1088" spans="6:6">
      <c r="F1088" s="113"/>
    </row>
    <row r="1089" spans="6:6">
      <c r="F1089" s="113"/>
    </row>
    <row r="1090" spans="6:6">
      <c r="F1090" s="113"/>
    </row>
    <row r="1091" spans="6:6">
      <c r="F1091" s="113"/>
    </row>
    <row r="1092" spans="6:6">
      <c r="F1092" s="113"/>
    </row>
    <row r="1093" spans="6:6">
      <c r="F1093" s="113"/>
    </row>
    <row r="1094" spans="6:6">
      <c r="F1094" s="113"/>
    </row>
    <row r="1095" spans="6:6">
      <c r="F1095" s="113"/>
    </row>
    <row r="1096" spans="6:6">
      <c r="F1096" s="113"/>
    </row>
    <row r="1097" spans="6:6">
      <c r="F1097" s="113"/>
    </row>
    <row r="1098" spans="6:6">
      <c r="F1098" s="113"/>
    </row>
    <row r="1099" spans="6:6">
      <c r="F1099" s="113"/>
    </row>
    <row r="1100" spans="6:6">
      <c r="F1100" s="113"/>
    </row>
    <row r="1101" spans="6:6">
      <c r="F1101" s="113"/>
    </row>
    <row r="1102" spans="6:6">
      <c r="F1102" s="113"/>
    </row>
    <row r="1103" spans="6:6">
      <c r="F1103" s="113"/>
    </row>
    <row r="1104" spans="6:6">
      <c r="F1104" s="113"/>
    </row>
    <row r="1105" spans="6:6">
      <c r="F1105" s="113"/>
    </row>
    <row r="1106" spans="6:6">
      <c r="F1106" s="113"/>
    </row>
    <row r="1107" spans="6:6">
      <c r="F1107" s="113"/>
    </row>
    <row r="1108" spans="6:6">
      <c r="F1108" s="113"/>
    </row>
    <row r="1109" spans="6:6">
      <c r="F1109" s="113"/>
    </row>
    <row r="1110" spans="6:6">
      <c r="F1110" s="113"/>
    </row>
    <row r="1111" spans="6:6">
      <c r="F1111" s="113"/>
    </row>
    <row r="1112" spans="6:6">
      <c r="F1112" s="113"/>
    </row>
    <row r="1113" spans="6:6">
      <c r="F1113" s="113"/>
    </row>
    <row r="1114" spans="6:6">
      <c r="F1114" s="113"/>
    </row>
    <row r="1115" spans="6:6">
      <c r="F1115" s="113"/>
    </row>
    <row r="1116" spans="6:6">
      <c r="F1116" s="113"/>
    </row>
    <row r="1117" spans="6:6">
      <c r="F1117" s="113"/>
    </row>
    <row r="1118" spans="6:6">
      <c r="F1118" s="113"/>
    </row>
    <row r="1119" spans="6:6">
      <c r="F1119" s="113"/>
    </row>
    <row r="1120" spans="6:6">
      <c r="F1120" s="113"/>
    </row>
    <row r="1121" spans="6:6">
      <c r="F1121" s="113"/>
    </row>
    <row r="1122" spans="6:6">
      <c r="F1122" s="113"/>
    </row>
    <row r="1123" spans="6:6">
      <c r="F1123" s="113"/>
    </row>
    <row r="1124" spans="6:6">
      <c r="F1124" s="113"/>
    </row>
    <row r="1125" spans="6:6">
      <c r="F1125" s="113"/>
    </row>
    <row r="1126" spans="6:6">
      <c r="F1126" s="113"/>
    </row>
    <row r="1127" spans="6:6">
      <c r="F1127" s="113"/>
    </row>
    <row r="1128" spans="6:6">
      <c r="F1128" s="113"/>
    </row>
    <row r="1129" spans="6:6">
      <c r="F1129" s="113"/>
    </row>
    <row r="1130" spans="6:6">
      <c r="F1130" s="113"/>
    </row>
    <row r="1131" spans="6:6">
      <c r="F1131" s="113"/>
    </row>
    <row r="1132" spans="6:6">
      <c r="F1132" s="113"/>
    </row>
    <row r="1133" spans="6:6">
      <c r="F1133" s="113"/>
    </row>
    <row r="1134" spans="6:6">
      <c r="F1134" s="113"/>
    </row>
    <row r="1135" spans="6:6">
      <c r="F1135" s="113"/>
    </row>
    <row r="1136" spans="6:6">
      <c r="F1136" s="113"/>
    </row>
    <row r="1137" spans="6:6">
      <c r="F1137" s="113"/>
    </row>
    <row r="1138" spans="6:6">
      <c r="F1138" s="113"/>
    </row>
    <row r="1139" spans="6:6">
      <c r="F1139" s="113"/>
    </row>
    <row r="1140" spans="6:6">
      <c r="F1140" s="113"/>
    </row>
    <row r="1141" spans="6:6">
      <c r="F1141" s="113"/>
    </row>
    <row r="1142" spans="6:6">
      <c r="F1142" s="113"/>
    </row>
    <row r="1143" spans="6:6">
      <c r="F1143" s="113"/>
    </row>
    <row r="1144" spans="6:6">
      <c r="F1144" s="113"/>
    </row>
    <row r="1145" spans="6:6">
      <c r="F1145" s="113"/>
    </row>
    <row r="1146" spans="6:6">
      <c r="F1146" s="113"/>
    </row>
    <row r="1147" spans="6:6">
      <c r="F1147" s="113"/>
    </row>
    <row r="1148" spans="6:6">
      <c r="F1148" s="113"/>
    </row>
    <row r="1149" spans="6:6">
      <c r="F1149" s="113"/>
    </row>
    <row r="1150" spans="6:6">
      <c r="F1150" s="113"/>
    </row>
    <row r="1151" spans="6:6">
      <c r="F1151" s="113"/>
    </row>
    <row r="1152" spans="6:6">
      <c r="F1152" s="113"/>
    </row>
    <row r="1153" spans="6:6">
      <c r="F1153" s="113"/>
    </row>
    <row r="1154" spans="6:6">
      <c r="F1154" s="113"/>
    </row>
    <row r="1155" spans="6:6">
      <c r="F1155" s="113"/>
    </row>
    <row r="1156" spans="6:6">
      <c r="F1156" s="113"/>
    </row>
    <row r="1157" spans="6:6">
      <c r="F1157" s="113"/>
    </row>
    <row r="1158" spans="6:6">
      <c r="F1158" s="113"/>
    </row>
    <row r="1159" spans="6:6">
      <c r="F1159" s="113"/>
    </row>
    <row r="1160" spans="6:6">
      <c r="F1160" s="113"/>
    </row>
    <row r="1161" spans="6:6">
      <c r="F1161" s="113"/>
    </row>
    <row r="1162" spans="6:6">
      <c r="F1162" s="113"/>
    </row>
    <row r="1163" spans="6:6">
      <c r="F1163" s="113"/>
    </row>
    <row r="1164" spans="6:6">
      <c r="F1164" s="113"/>
    </row>
    <row r="1165" spans="6:6">
      <c r="F1165" s="113"/>
    </row>
    <row r="1166" spans="6:6">
      <c r="F1166" s="113"/>
    </row>
    <row r="1167" spans="6:6">
      <c r="F1167" s="113"/>
    </row>
    <row r="1168" spans="6:6">
      <c r="F1168" s="113"/>
    </row>
    <row r="1169" spans="6:6">
      <c r="F1169" s="113"/>
    </row>
    <row r="1170" spans="6:6">
      <c r="F1170" s="113"/>
    </row>
    <row r="1171" spans="6:6">
      <c r="F1171" s="113"/>
    </row>
    <row r="1172" spans="6:6">
      <c r="F1172" s="113"/>
    </row>
    <row r="1173" spans="6:6">
      <c r="F1173" s="113"/>
    </row>
    <row r="1174" spans="6:6">
      <c r="F1174" s="113"/>
    </row>
    <row r="1175" spans="6:6">
      <c r="F1175" s="113"/>
    </row>
    <row r="1176" spans="6:6">
      <c r="F1176" s="113"/>
    </row>
    <row r="1177" spans="6:6">
      <c r="F1177" s="113"/>
    </row>
    <row r="1178" spans="6:6">
      <c r="F1178" s="113"/>
    </row>
    <row r="1179" spans="6:6">
      <c r="F1179" s="113"/>
    </row>
    <row r="1180" spans="6:6">
      <c r="F1180" s="113"/>
    </row>
    <row r="1181" spans="6:6">
      <c r="F1181" s="113"/>
    </row>
    <row r="1182" spans="6:6">
      <c r="F1182" s="113"/>
    </row>
    <row r="1183" spans="6:6">
      <c r="F1183" s="113"/>
    </row>
    <row r="1184" spans="6:6">
      <c r="F1184" s="113"/>
    </row>
    <row r="1185" spans="6:6">
      <c r="F1185" s="113"/>
    </row>
    <row r="1186" spans="6:6">
      <c r="F1186" s="113"/>
    </row>
    <row r="1187" spans="6:6">
      <c r="F1187" s="113"/>
    </row>
    <row r="1188" spans="6:6">
      <c r="F1188" s="113"/>
    </row>
    <row r="1189" spans="6:6">
      <c r="F1189" s="113"/>
    </row>
    <row r="1190" spans="6:6">
      <c r="F1190" s="113"/>
    </row>
    <row r="1191" spans="6:6">
      <c r="F1191" s="113"/>
    </row>
    <row r="1192" spans="6:6">
      <c r="F1192" s="113"/>
    </row>
    <row r="1193" spans="6:6">
      <c r="F1193" s="113"/>
    </row>
    <row r="1194" spans="6:6">
      <c r="F1194" s="113"/>
    </row>
    <row r="1195" spans="6:6">
      <c r="F1195" s="113"/>
    </row>
    <row r="1196" spans="6:6">
      <c r="F1196" s="113"/>
    </row>
    <row r="1197" spans="6:6">
      <c r="F1197" s="113"/>
    </row>
    <row r="1198" spans="6:6">
      <c r="F1198" s="113"/>
    </row>
    <row r="1199" spans="6:6">
      <c r="F1199" s="113"/>
    </row>
    <row r="1200" spans="6:6">
      <c r="F1200" s="113"/>
    </row>
    <row r="1201" spans="6:6">
      <c r="F1201" s="113"/>
    </row>
    <row r="1202" spans="6:6">
      <c r="F1202" s="113"/>
    </row>
    <row r="1203" spans="6:6">
      <c r="F1203" s="113"/>
    </row>
    <row r="1204" spans="6:6">
      <c r="F1204" s="113"/>
    </row>
    <row r="1205" spans="6:6">
      <c r="F1205" s="113"/>
    </row>
    <row r="1206" spans="6:6">
      <c r="F1206" s="113"/>
    </row>
    <row r="1207" spans="6:6">
      <c r="F1207" s="113"/>
    </row>
    <row r="1208" spans="6:6">
      <c r="F1208" s="113"/>
    </row>
    <row r="1209" spans="6:6">
      <c r="F1209" s="113"/>
    </row>
    <row r="1210" spans="6:6">
      <c r="F1210" s="113"/>
    </row>
    <row r="1211" spans="6:6">
      <c r="F1211" s="113"/>
    </row>
    <row r="1212" spans="6:6">
      <c r="F1212" s="113"/>
    </row>
    <row r="1213" spans="6:6">
      <c r="F1213" s="113"/>
    </row>
    <row r="1214" spans="6:6">
      <c r="F1214" s="113"/>
    </row>
    <row r="1215" spans="6:6">
      <c r="F1215" s="113"/>
    </row>
    <row r="1216" spans="6:6">
      <c r="F1216" s="113"/>
    </row>
    <row r="1217" spans="6:6">
      <c r="F1217" s="113"/>
    </row>
    <row r="1218" spans="6:6">
      <c r="F1218" s="113"/>
    </row>
    <row r="1219" spans="6:6">
      <c r="F1219" s="113"/>
    </row>
    <row r="1220" spans="6:6">
      <c r="F1220" s="113"/>
    </row>
    <row r="1221" spans="6:6">
      <c r="F1221" s="113"/>
    </row>
    <row r="1222" spans="6:6">
      <c r="F1222" s="113"/>
    </row>
    <row r="1223" spans="6:6">
      <c r="F1223" s="113"/>
    </row>
    <row r="1224" spans="6:6">
      <c r="F1224" s="113"/>
    </row>
    <row r="1225" spans="6:6">
      <c r="F1225" s="113"/>
    </row>
    <row r="1226" spans="6:6">
      <c r="F1226" s="113"/>
    </row>
    <row r="1227" spans="6:6">
      <c r="F1227" s="113"/>
    </row>
    <row r="1228" spans="6:6">
      <c r="F1228" s="113"/>
    </row>
    <row r="1229" spans="6:6">
      <c r="F1229" s="113"/>
    </row>
    <row r="1230" spans="6:6">
      <c r="F1230" s="113"/>
    </row>
    <row r="1231" spans="6:6">
      <c r="F1231" s="113"/>
    </row>
    <row r="1232" spans="6:6">
      <c r="F1232" s="113"/>
    </row>
    <row r="1233" spans="6:6">
      <c r="F1233" s="113"/>
    </row>
    <row r="1234" spans="6:6">
      <c r="F1234" s="113"/>
    </row>
    <row r="1235" spans="6:6">
      <c r="F1235" s="113"/>
    </row>
    <row r="1236" spans="6:6">
      <c r="F1236" s="113"/>
    </row>
    <row r="1237" spans="6:6">
      <c r="F1237" s="113"/>
    </row>
    <row r="1238" spans="6:6">
      <c r="F1238" s="113"/>
    </row>
    <row r="1239" spans="6:6">
      <c r="F1239" s="113"/>
    </row>
    <row r="1240" spans="6:6">
      <c r="F1240" s="113"/>
    </row>
    <row r="1241" spans="6:6">
      <c r="F1241" s="113"/>
    </row>
    <row r="1242" spans="6:6">
      <c r="F1242" s="113"/>
    </row>
    <row r="1243" spans="6:6">
      <c r="F1243" s="113"/>
    </row>
    <row r="1244" spans="6:6">
      <c r="F1244" s="113"/>
    </row>
    <row r="1245" spans="6:6">
      <c r="F1245" s="113"/>
    </row>
    <row r="1246" spans="6:6">
      <c r="F1246" s="113"/>
    </row>
    <row r="1247" spans="6:6">
      <c r="F1247" s="113"/>
    </row>
    <row r="1248" spans="6:6">
      <c r="F1248" s="113"/>
    </row>
    <row r="1249" spans="6:6">
      <c r="F1249" s="113"/>
    </row>
    <row r="1250" spans="6:6">
      <c r="F1250" s="113"/>
    </row>
    <row r="1251" spans="6:6">
      <c r="F1251" s="113"/>
    </row>
    <row r="1252" spans="6:6">
      <c r="F1252" s="113"/>
    </row>
    <row r="1253" spans="6:6">
      <c r="F1253" s="113"/>
    </row>
    <row r="1254" spans="6:6">
      <c r="F1254" s="113"/>
    </row>
    <row r="1255" spans="6:6">
      <c r="F1255" s="113"/>
    </row>
    <row r="1256" spans="6:6">
      <c r="F1256" s="113"/>
    </row>
    <row r="1257" spans="6:6">
      <c r="F1257" s="113"/>
    </row>
    <row r="1258" spans="6:6">
      <c r="F1258" s="113"/>
    </row>
    <row r="1259" spans="6:6">
      <c r="F1259" s="113"/>
    </row>
    <row r="1260" spans="6:6">
      <c r="F1260" s="113"/>
    </row>
    <row r="1261" spans="6:6">
      <c r="F1261" s="113"/>
    </row>
    <row r="1262" spans="6:6">
      <c r="F1262" s="113"/>
    </row>
    <row r="1263" spans="6:6">
      <c r="F1263" s="113"/>
    </row>
    <row r="1264" spans="6:6">
      <c r="F1264" s="113"/>
    </row>
    <row r="1265" spans="6:6">
      <c r="F1265" s="113"/>
    </row>
    <row r="1266" spans="6:6">
      <c r="F1266" s="113"/>
    </row>
    <row r="1267" spans="6:6">
      <c r="F1267" s="113"/>
    </row>
    <row r="1268" spans="6:6">
      <c r="F1268" s="113"/>
    </row>
    <row r="1269" spans="6:6">
      <c r="F1269" s="113"/>
    </row>
    <row r="1270" spans="6:6">
      <c r="F1270" s="113"/>
    </row>
    <row r="1271" spans="6:6">
      <c r="F1271" s="113"/>
    </row>
    <row r="1272" spans="6:6">
      <c r="F1272" s="113"/>
    </row>
    <row r="1273" spans="6:6">
      <c r="F1273" s="113"/>
    </row>
    <row r="1274" spans="6:6">
      <c r="F1274" s="113"/>
    </row>
    <row r="1275" spans="6:6">
      <c r="F1275" s="113"/>
    </row>
    <row r="1276" spans="6:6">
      <c r="F1276" s="113"/>
    </row>
    <row r="1277" spans="6:6">
      <c r="F1277" s="113"/>
    </row>
    <row r="1278" spans="6:6">
      <c r="F1278" s="113"/>
    </row>
    <row r="1279" spans="6:6">
      <c r="F1279" s="113"/>
    </row>
    <row r="1280" spans="6:6">
      <c r="F1280" s="113"/>
    </row>
    <row r="1281" spans="6:6">
      <c r="F1281" s="113"/>
    </row>
    <row r="1282" spans="6:6">
      <c r="F1282" s="113"/>
    </row>
    <row r="1283" spans="6:6">
      <c r="F1283" s="113"/>
    </row>
    <row r="1284" spans="6:6">
      <c r="F1284" s="113"/>
    </row>
    <row r="1285" spans="6:6">
      <c r="F1285" s="113"/>
    </row>
    <row r="1286" spans="6:6">
      <c r="F1286" s="113"/>
    </row>
    <row r="1287" spans="6:6">
      <c r="F1287" s="113"/>
    </row>
    <row r="1288" spans="6:6">
      <c r="F1288" s="113"/>
    </row>
    <row r="1289" spans="6:6">
      <c r="F1289" s="113"/>
    </row>
    <row r="1290" spans="6:6">
      <c r="F1290" s="113"/>
    </row>
    <row r="1291" spans="6:6">
      <c r="F1291" s="113"/>
    </row>
    <row r="1292" spans="6:6">
      <c r="F1292" s="113"/>
    </row>
    <row r="1293" spans="6:6">
      <c r="F1293" s="113"/>
    </row>
    <row r="1294" spans="6:6">
      <c r="F1294" s="113"/>
    </row>
    <row r="1295" spans="6:6">
      <c r="F1295" s="113"/>
    </row>
    <row r="1296" spans="6:6">
      <c r="F1296" s="113"/>
    </row>
    <row r="1297" spans="6:6">
      <c r="F1297" s="113"/>
    </row>
    <row r="1298" spans="6:6">
      <c r="F1298" s="113"/>
    </row>
    <row r="1299" spans="6:6">
      <c r="F1299" s="113"/>
    </row>
    <row r="1300" spans="6:6">
      <c r="F1300" s="113"/>
    </row>
    <row r="1301" spans="6:6">
      <c r="F1301" s="113"/>
    </row>
    <row r="1302" spans="6:6">
      <c r="F1302" s="113"/>
    </row>
    <row r="1303" spans="6:6">
      <c r="F1303" s="113"/>
    </row>
    <row r="1304" spans="6:6">
      <c r="F1304" s="113"/>
    </row>
    <row r="1305" spans="6:6">
      <c r="F1305" s="113"/>
    </row>
    <row r="1306" spans="6:6">
      <c r="F1306" s="113"/>
    </row>
    <row r="1307" spans="6:6">
      <c r="F1307" s="113"/>
    </row>
    <row r="1308" spans="6:6">
      <c r="F1308" s="113"/>
    </row>
    <row r="1309" spans="6:6">
      <c r="F1309" s="113"/>
    </row>
    <row r="1310" spans="6:6">
      <c r="F1310" s="113"/>
    </row>
    <row r="1311" spans="6:6">
      <c r="F1311" s="113"/>
    </row>
    <row r="1312" spans="6:6">
      <c r="F1312" s="113"/>
    </row>
    <row r="1313" spans="6:6">
      <c r="F1313" s="113"/>
    </row>
    <row r="1314" spans="6:6">
      <c r="F1314" s="113"/>
    </row>
    <row r="1315" spans="6:6">
      <c r="F1315" s="113"/>
    </row>
    <row r="1316" spans="6:6">
      <c r="F1316" s="113"/>
    </row>
    <row r="1317" spans="6:6">
      <c r="F1317" s="113"/>
    </row>
    <row r="1318" spans="6:6">
      <c r="F1318" s="113"/>
    </row>
    <row r="1319" spans="6:6">
      <c r="F1319" s="113"/>
    </row>
    <row r="1320" spans="6:6">
      <c r="F1320" s="113"/>
    </row>
    <row r="1321" spans="6:6">
      <c r="F1321" s="113"/>
    </row>
    <row r="1322" spans="6:6">
      <c r="F1322" s="113"/>
    </row>
    <row r="1323" spans="6:6">
      <c r="F1323" s="113"/>
    </row>
    <row r="1324" spans="6:6">
      <c r="F1324" s="113"/>
    </row>
    <row r="1325" spans="6:6">
      <c r="F1325" s="113"/>
    </row>
    <row r="1326" spans="6:6">
      <c r="F1326" s="113"/>
    </row>
    <row r="1327" spans="6:6">
      <c r="F1327" s="113"/>
    </row>
    <row r="1328" spans="6:6">
      <c r="F1328" s="113"/>
    </row>
    <row r="1329" spans="6:6">
      <c r="F1329" s="113"/>
    </row>
    <row r="1330" spans="6:6">
      <c r="F1330" s="113"/>
    </row>
    <row r="1331" spans="6:6">
      <c r="F1331" s="113"/>
    </row>
    <row r="1332" spans="6:6">
      <c r="F1332" s="113"/>
    </row>
    <row r="1333" spans="6:6">
      <c r="F1333" s="113"/>
    </row>
    <row r="1334" spans="6:6">
      <c r="F1334" s="113"/>
    </row>
    <row r="1335" spans="6:6">
      <c r="F1335" s="113"/>
    </row>
    <row r="1336" spans="6:6">
      <c r="F1336" s="113"/>
    </row>
    <row r="1337" spans="6:6">
      <c r="F1337" s="113"/>
    </row>
    <row r="1338" spans="6:6">
      <c r="F1338" s="113"/>
    </row>
    <row r="1339" spans="6:6">
      <c r="F1339" s="113"/>
    </row>
    <row r="1340" spans="6:6">
      <c r="F1340" s="113"/>
    </row>
    <row r="1341" spans="6:6">
      <c r="F1341" s="113"/>
    </row>
    <row r="1342" spans="6:6">
      <c r="F1342" s="113"/>
    </row>
    <row r="1343" spans="6:6">
      <c r="F1343" s="113"/>
    </row>
    <row r="1344" spans="6:6">
      <c r="F1344" s="113"/>
    </row>
    <row r="1345" spans="6:6">
      <c r="F1345" s="113"/>
    </row>
    <row r="1346" spans="6:6">
      <c r="F1346" s="113"/>
    </row>
    <row r="1347" spans="6:6">
      <c r="F1347" s="113"/>
    </row>
    <row r="1348" spans="6:6">
      <c r="F1348" s="113"/>
    </row>
    <row r="1349" spans="6:6">
      <c r="F1349" s="113"/>
    </row>
    <row r="1350" spans="6:6">
      <c r="F1350" s="113"/>
    </row>
    <row r="1351" spans="6:6">
      <c r="F1351" s="113"/>
    </row>
    <row r="1352" spans="6:6">
      <c r="F1352" s="113"/>
    </row>
    <row r="1353" spans="6:6">
      <c r="F1353" s="113"/>
    </row>
    <row r="1354" spans="6:6">
      <c r="F1354" s="113"/>
    </row>
    <row r="1355" spans="6:6">
      <c r="F1355" s="113"/>
    </row>
    <row r="1356" spans="6:6">
      <c r="F1356" s="113"/>
    </row>
    <row r="1357" spans="6:6">
      <c r="F1357" s="113"/>
    </row>
    <row r="1358" spans="6:6">
      <c r="F1358" s="113"/>
    </row>
    <row r="1359" spans="6:6">
      <c r="F1359" s="113"/>
    </row>
    <row r="1360" spans="6:6">
      <c r="F1360" s="113"/>
    </row>
    <row r="1361" spans="6:6">
      <c r="F1361" s="113"/>
    </row>
    <row r="1362" spans="6:6">
      <c r="F1362" s="113"/>
    </row>
    <row r="1363" spans="6:6">
      <c r="F1363" s="113"/>
    </row>
    <row r="1364" spans="6:6">
      <c r="F1364" s="113"/>
    </row>
    <row r="1365" spans="6:6">
      <c r="F1365" s="113"/>
    </row>
    <row r="1366" spans="6:6">
      <c r="F1366" s="113"/>
    </row>
    <row r="1367" spans="6:6">
      <c r="F1367" s="113"/>
    </row>
    <row r="1368" spans="6:6">
      <c r="F1368" s="113"/>
    </row>
    <row r="1369" spans="6:6">
      <c r="F1369" s="113"/>
    </row>
    <row r="1370" spans="6:6">
      <c r="F1370" s="113"/>
    </row>
    <row r="1371" spans="6:6">
      <c r="F1371" s="113"/>
    </row>
    <row r="1372" spans="6:6">
      <c r="F1372" s="113"/>
    </row>
    <row r="1373" spans="6:6">
      <c r="F1373" s="113"/>
    </row>
    <row r="1374" spans="6:6">
      <c r="F1374" s="113"/>
    </row>
    <row r="1375" spans="6:6">
      <c r="F1375" s="113"/>
    </row>
    <row r="1376" spans="6:6">
      <c r="F1376" s="113"/>
    </row>
    <row r="1377" spans="6:6">
      <c r="F1377" s="113"/>
    </row>
    <row r="1378" spans="6:6">
      <c r="F1378" s="113"/>
    </row>
    <row r="1379" spans="6:6">
      <c r="F1379" s="113"/>
    </row>
    <row r="1380" spans="6:6">
      <c r="F1380" s="113"/>
    </row>
    <row r="1381" spans="6:6">
      <c r="F1381" s="113"/>
    </row>
    <row r="1382" spans="6:6">
      <c r="F1382" s="113"/>
    </row>
    <row r="1383" spans="6:6">
      <c r="F1383" s="113"/>
    </row>
    <row r="1384" spans="6:6">
      <c r="F1384" s="113"/>
    </row>
    <row r="1385" spans="6:6">
      <c r="F1385" s="113"/>
    </row>
    <row r="1386" spans="6:6">
      <c r="F1386" s="113"/>
    </row>
    <row r="1387" spans="6:6">
      <c r="F1387" s="113"/>
    </row>
    <row r="1388" spans="6:6">
      <c r="F1388" s="113"/>
    </row>
    <row r="1389" spans="6:6">
      <c r="F1389" s="113"/>
    </row>
    <row r="1390" spans="6:6">
      <c r="F1390" s="113"/>
    </row>
    <row r="1391" spans="6:6">
      <c r="F1391" s="113"/>
    </row>
    <row r="1392" spans="6:6">
      <c r="F1392" s="113"/>
    </row>
    <row r="1393" spans="6:6">
      <c r="F1393" s="113"/>
    </row>
    <row r="1394" spans="6:6">
      <c r="F1394" s="113"/>
    </row>
    <row r="1395" spans="6:6">
      <c r="F1395" s="113"/>
    </row>
    <row r="1396" spans="6:6">
      <c r="F1396" s="113"/>
    </row>
    <row r="1397" spans="6:6">
      <c r="F1397" s="113"/>
    </row>
    <row r="1398" spans="6:6">
      <c r="F1398" s="113"/>
    </row>
    <row r="1399" spans="6:6">
      <c r="F1399" s="113"/>
    </row>
    <row r="1400" spans="6:6">
      <c r="F1400" s="113"/>
    </row>
    <row r="1401" spans="6:6">
      <c r="F1401" s="113"/>
    </row>
    <row r="1402" spans="6:6">
      <c r="F1402" s="113"/>
    </row>
    <row r="1403" spans="6:6">
      <c r="F1403" s="113"/>
    </row>
    <row r="1404" spans="6:6">
      <c r="F1404" s="113"/>
    </row>
    <row r="1405" spans="6:6">
      <c r="F1405" s="113"/>
    </row>
    <row r="1406" spans="6:6">
      <c r="F1406" s="113"/>
    </row>
    <row r="1407" spans="6:6">
      <c r="F1407" s="113"/>
    </row>
    <row r="1408" spans="6:6">
      <c r="F1408" s="113"/>
    </row>
    <row r="1409" spans="6:6">
      <c r="F1409" s="113"/>
    </row>
    <row r="1410" spans="6:6">
      <c r="F1410" s="113"/>
    </row>
    <row r="1411" spans="6:6">
      <c r="F1411" s="113"/>
    </row>
    <row r="1412" spans="6:6">
      <c r="F1412" s="113"/>
    </row>
    <row r="1413" spans="6:6">
      <c r="F1413" s="113"/>
    </row>
    <row r="1414" spans="6:6">
      <c r="F1414" s="113"/>
    </row>
    <row r="1415" spans="6:6">
      <c r="F1415" s="113"/>
    </row>
    <row r="1416" spans="6:6">
      <c r="F1416" s="113"/>
    </row>
    <row r="1417" spans="6:6">
      <c r="F1417" s="113"/>
    </row>
    <row r="1418" spans="6:6">
      <c r="F1418" s="113"/>
    </row>
    <row r="1419" spans="6:6">
      <c r="F1419" s="113"/>
    </row>
    <row r="1420" spans="6:6">
      <c r="F1420" s="113"/>
    </row>
    <row r="1421" spans="6:6">
      <c r="F1421" s="113"/>
    </row>
    <row r="1422" spans="6:6">
      <c r="F1422" s="113"/>
    </row>
    <row r="1423" spans="6:6">
      <c r="F1423" s="113"/>
    </row>
    <row r="1424" spans="6:6">
      <c r="F1424" s="113"/>
    </row>
    <row r="1425" spans="6:7">
      <c r="F1425" s="113"/>
    </row>
    <row r="1426" spans="6:7">
      <c r="F1426" s="113"/>
    </row>
    <row r="1427" spans="6:7">
      <c r="F1427" s="113"/>
    </row>
    <row r="1428" spans="6:7">
      <c r="F1428" s="113"/>
    </row>
    <row r="1429" spans="6:7">
      <c r="F1429" s="113"/>
      <c r="G1429" s="108"/>
    </row>
    <row r="1430" spans="6:7">
      <c r="F1430" s="113"/>
    </row>
    <row r="1431" spans="6:7">
      <c r="F1431" s="113"/>
    </row>
    <row r="1432" spans="6:7">
      <c r="F1432" s="113"/>
    </row>
    <row r="1433" spans="6:7">
      <c r="F1433" s="113"/>
    </row>
    <row r="1434" spans="6:7">
      <c r="F1434" s="113"/>
    </row>
    <row r="1435" spans="6:7">
      <c r="F1435" s="113"/>
    </row>
    <row r="1436" spans="6:7">
      <c r="F1436" s="113"/>
    </row>
    <row r="1437" spans="6:7">
      <c r="F1437" s="113"/>
    </row>
    <row r="1438" spans="6:7">
      <c r="F1438" s="113"/>
    </row>
    <row r="1439" spans="6:7">
      <c r="F1439" s="113"/>
    </row>
    <row r="1440" spans="6:7">
      <c r="F1440" s="113"/>
    </row>
    <row r="1441" spans="6:6">
      <c r="F1441" s="113"/>
    </row>
    <row r="1442" spans="6:6">
      <c r="F1442" s="113"/>
    </row>
    <row r="1443" spans="6:6">
      <c r="F1443" s="113"/>
    </row>
    <row r="1444" spans="6:6">
      <c r="F1444" s="113"/>
    </row>
    <row r="1445" spans="6:6">
      <c r="F1445" s="113"/>
    </row>
    <row r="1446" spans="6:6">
      <c r="F1446" s="113"/>
    </row>
    <row r="1447" spans="6:6">
      <c r="F1447" s="113"/>
    </row>
    <row r="1448" spans="6:6">
      <c r="F1448" s="113"/>
    </row>
    <row r="1449" spans="6:6">
      <c r="F1449" s="113"/>
    </row>
    <row r="1450" spans="6:6">
      <c r="F1450" s="113"/>
    </row>
  </sheetData>
  <sheetProtection password="ADC2" sheet="1" objects="1" scenarios="1"/>
  <sortState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C6" sqref="C6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1" customWidth="1"/>
    <col min="6" max="7" width="11.5703125" style="68" customWidth="1"/>
    <col min="8" max="8" width="11.5703125" style="81" customWidth="1"/>
    <col min="9" max="16384" width="9.140625" style="68"/>
  </cols>
  <sheetData>
    <row r="3" spans="1:17" ht="68.25" customHeight="1">
      <c r="A3" s="82" t="s">
        <v>5</v>
      </c>
      <c r="B3" s="83" t="s">
        <v>6</v>
      </c>
      <c r="C3" s="83" t="s">
        <v>7</v>
      </c>
      <c r="D3" s="84" t="s">
        <v>154</v>
      </c>
      <c r="E3" s="84" t="s">
        <v>155</v>
      </c>
      <c r="F3" s="83" t="s">
        <v>153</v>
      </c>
      <c r="G3" s="83"/>
      <c r="H3" s="84"/>
      <c r="I3" s="238" t="s">
        <v>15</v>
      </c>
      <c r="J3" s="238"/>
      <c r="K3" s="238"/>
      <c r="L3" s="238"/>
      <c r="M3" s="238"/>
      <c r="N3" s="238"/>
      <c r="O3" s="238"/>
      <c r="P3" s="238"/>
    </row>
    <row r="4" spans="1:17" ht="15.75">
      <c r="A4" s="192">
        <f>'Timesheet-Regular'!C11</f>
        <v>44378</v>
      </c>
      <c r="B4" s="72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2">
        <f>IF(B4&gt;0,'Timesheet-Regular'!E11,0)</f>
        <v>0</v>
      </c>
      <c r="D4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6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9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9">
        <f t="shared" ref="G4:G65" si="0">C4-B4</f>
        <v>0</v>
      </c>
      <c r="H4" s="236">
        <f>SUM(Sheet2!D4:D5)</f>
        <v>0</v>
      </c>
      <c r="I4" s="206"/>
      <c r="J4" s="207"/>
      <c r="K4" s="207"/>
      <c r="L4" s="207"/>
      <c r="M4" s="207"/>
      <c r="N4" s="207"/>
      <c r="O4" s="207"/>
      <c r="P4" s="208"/>
    </row>
    <row r="5" spans="1:17" ht="15.75">
      <c r="A5" s="193"/>
      <c r="B5" s="72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2">
        <f>IF(B5&gt;0,'Timesheet-Regular'!E12,0)</f>
        <v>0</v>
      </c>
      <c r="D5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7"/>
      <c r="F5" s="79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9">
        <f t="shared" si="0"/>
        <v>0</v>
      </c>
      <c r="H5" s="237"/>
      <c r="I5" s="206"/>
      <c r="J5" s="207"/>
      <c r="K5" s="207"/>
      <c r="L5" s="207"/>
      <c r="M5" s="207"/>
      <c r="N5" s="207"/>
      <c r="O5" s="207"/>
      <c r="P5" s="208"/>
    </row>
    <row r="6" spans="1:17" ht="15.75">
      <c r="A6" s="192">
        <f>'Timesheet-Regular'!C13</f>
        <v>44379</v>
      </c>
      <c r="B6" s="72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2">
        <f>IF(B6&gt;0,'Timesheet-Regular'!E13,0)</f>
        <v>0</v>
      </c>
      <c r="D6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6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9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9">
        <f t="shared" si="0"/>
        <v>0</v>
      </c>
      <c r="H6" s="236">
        <f>SUM(Sheet2!D6:D7)</f>
        <v>0</v>
      </c>
      <c r="I6" s="206"/>
      <c r="J6" s="207"/>
      <c r="K6" s="207"/>
      <c r="L6" s="207"/>
      <c r="M6" s="207"/>
      <c r="N6" s="207"/>
      <c r="O6" s="207"/>
      <c r="P6" s="208"/>
    </row>
    <row r="7" spans="1:17" ht="15.75">
      <c r="A7" s="193"/>
      <c r="B7" s="72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2">
        <f>IF(B7&gt;0,'Timesheet-Regular'!E14,0)</f>
        <v>0</v>
      </c>
      <c r="D7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7"/>
      <c r="F7" s="79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9">
        <f t="shared" si="0"/>
        <v>0</v>
      </c>
      <c r="H7" s="237"/>
      <c r="I7" s="206"/>
      <c r="J7" s="207"/>
      <c r="K7" s="207"/>
      <c r="L7" s="207"/>
      <c r="M7" s="207"/>
      <c r="N7" s="207"/>
      <c r="O7" s="207"/>
      <c r="P7" s="208"/>
      <c r="Q7" s="85"/>
    </row>
    <row r="8" spans="1:17" ht="15.75">
      <c r="A8" s="192">
        <f>'Timesheet-Regular'!C15</f>
        <v>44380</v>
      </c>
      <c r="B8" s="72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2">
        <f>IF(B8&gt;0,'Timesheet-Regular'!E15,0)</f>
        <v>0</v>
      </c>
      <c r="D8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6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9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9">
        <f t="shared" si="0"/>
        <v>0</v>
      </c>
      <c r="H8" s="236">
        <f>SUM(Sheet2!D8:D9)</f>
        <v>0</v>
      </c>
      <c r="I8" s="206"/>
      <c r="J8" s="207"/>
      <c r="K8" s="207"/>
      <c r="L8" s="207"/>
      <c r="M8" s="207"/>
      <c r="N8" s="207"/>
      <c r="O8" s="207"/>
      <c r="P8" s="208"/>
      <c r="Q8" s="85"/>
    </row>
    <row r="9" spans="1:17" ht="15.75">
      <c r="A9" s="193"/>
      <c r="B9" s="72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2">
        <f>IF(B9&gt;0,'Timesheet-Regular'!E16,0)</f>
        <v>0</v>
      </c>
      <c r="D9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7"/>
      <c r="F9" s="79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9">
        <f t="shared" si="0"/>
        <v>0</v>
      </c>
      <c r="H9" s="237"/>
      <c r="I9" s="206"/>
      <c r="J9" s="207"/>
      <c r="K9" s="207"/>
      <c r="L9" s="207"/>
      <c r="M9" s="207"/>
      <c r="N9" s="207"/>
      <c r="O9" s="207"/>
      <c r="P9" s="208"/>
    </row>
    <row r="10" spans="1:17" ht="15.75">
      <c r="A10" s="192">
        <f>'Timesheet-Regular'!C17</f>
        <v>44381</v>
      </c>
      <c r="B10" s="72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2">
        <f>IF(B10&gt;0,'Timesheet-Regular'!E17,0)</f>
        <v>0</v>
      </c>
      <c r="D10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6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9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9">
        <f>C10-B10</f>
        <v>0</v>
      </c>
      <c r="H10" s="236">
        <f>SUM(Sheet2!D10:D11)</f>
        <v>0</v>
      </c>
      <c r="I10" s="206"/>
      <c r="J10" s="207"/>
      <c r="K10" s="207"/>
      <c r="L10" s="207"/>
      <c r="M10" s="207"/>
      <c r="N10" s="207"/>
      <c r="O10" s="207"/>
      <c r="P10" s="208"/>
    </row>
    <row r="11" spans="1:17" ht="15.75">
      <c r="A11" s="193"/>
      <c r="B11" s="72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2">
        <f>IF(B11&gt;0,'Timesheet-Regular'!E18,0)</f>
        <v>0</v>
      </c>
      <c r="D11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7"/>
      <c r="F11" s="79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9">
        <f t="shared" ref="G11:G12" si="1">C11-B11</f>
        <v>0</v>
      </c>
      <c r="H11" s="237"/>
      <c r="I11" s="206"/>
      <c r="J11" s="207"/>
      <c r="K11" s="207"/>
      <c r="L11" s="207"/>
      <c r="M11" s="207"/>
      <c r="N11" s="207"/>
      <c r="O11" s="207"/>
      <c r="P11" s="208"/>
    </row>
    <row r="12" spans="1:17" ht="15.75">
      <c r="A12" s="192">
        <f>'Timesheet-Regular'!C19</f>
        <v>44382</v>
      </c>
      <c r="B12" s="72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2">
        <f>IF(B12&gt;0,'Timesheet-Regular'!E19,0)</f>
        <v>0</v>
      </c>
      <c r="D12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6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9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9">
        <f t="shared" si="1"/>
        <v>0</v>
      </c>
      <c r="H12" s="236">
        <f>SUM(Sheet2!D12:D13)</f>
        <v>0</v>
      </c>
      <c r="I12" s="206"/>
      <c r="J12" s="207"/>
      <c r="K12" s="207"/>
      <c r="L12" s="207"/>
      <c r="M12" s="207"/>
      <c r="N12" s="207"/>
      <c r="O12" s="207"/>
      <c r="P12" s="208"/>
    </row>
    <row r="13" spans="1:17" ht="15.75">
      <c r="A13" s="193"/>
      <c r="B13" s="72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2">
        <f>IF(B13&gt;0,'Timesheet-Regular'!E20,0)</f>
        <v>0</v>
      </c>
      <c r="D13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7"/>
      <c r="F13" s="79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9">
        <f t="shared" si="0"/>
        <v>0</v>
      </c>
      <c r="H13" s="237"/>
      <c r="I13" s="206"/>
      <c r="J13" s="207"/>
      <c r="K13" s="207"/>
      <c r="L13" s="207"/>
      <c r="M13" s="207"/>
      <c r="N13" s="207"/>
      <c r="O13" s="207"/>
      <c r="P13" s="208"/>
    </row>
    <row r="14" spans="1:17" ht="15.75">
      <c r="A14" s="192">
        <f>'Timesheet-Regular'!C21</f>
        <v>44383</v>
      </c>
      <c r="B14" s="72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2">
        <f>IF(B14&gt;0,'Timesheet-Regular'!E21,0)</f>
        <v>0</v>
      </c>
      <c r="D14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6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9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9">
        <f t="shared" si="0"/>
        <v>0</v>
      </c>
      <c r="H14" s="236">
        <f>SUM(Sheet2!D14:D15)</f>
        <v>0</v>
      </c>
      <c r="I14" s="206"/>
      <c r="J14" s="207"/>
      <c r="K14" s="207"/>
      <c r="L14" s="207"/>
      <c r="M14" s="207"/>
      <c r="N14" s="207"/>
      <c r="O14" s="207"/>
      <c r="P14" s="208"/>
    </row>
    <row r="15" spans="1:17" ht="15.75">
      <c r="A15" s="193"/>
      <c r="B15" s="72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2">
        <f>IF(B15&gt;0,'Timesheet-Regular'!E22,0)</f>
        <v>0</v>
      </c>
      <c r="D15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7"/>
      <c r="F15" s="79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9">
        <f t="shared" si="0"/>
        <v>0</v>
      </c>
      <c r="H15" s="237"/>
      <c r="I15" s="206"/>
      <c r="J15" s="207"/>
      <c r="K15" s="207"/>
      <c r="L15" s="207"/>
      <c r="M15" s="207"/>
      <c r="N15" s="207"/>
      <c r="O15" s="207"/>
      <c r="P15" s="208"/>
    </row>
    <row r="16" spans="1:17" ht="15.75">
      <c r="A16" s="192">
        <f>'Timesheet-Regular'!C23</f>
        <v>44384</v>
      </c>
      <c r="B16" s="72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2">
        <f>IF(B16&gt;0,'Timesheet-Regular'!E23,0)</f>
        <v>0</v>
      </c>
      <c r="D16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6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9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9">
        <f t="shared" si="0"/>
        <v>0</v>
      </c>
      <c r="H16" s="236">
        <f>SUM(Sheet2!D16:D17)</f>
        <v>0</v>
      </c>
      <c r="I16" s="206"/>
      <c r="J16" s="207"/>
      <c r="K16" s="207"/>
      <c r="L16" s="207"/>
      <c r="M16" s="207"/>
      <c r="N16" s="207"/>
      <c r="O16" s="207"/>
      <c r="P16" s="208"/>
    </row>
    <row r="17" spans="1:16" ht="15.75">
      <c r="A17" s="193"/>
      <c r="B17" s="72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2">
        <f>IF(B17&gt;0,'Timesheet-Regular'!E24,0)</f>
        <v>0</v>
      </c>
      <c r="D17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7"/>
      <c r="F17" s="79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9">
        <f t="shared" si="0"/>
        <v>0</v>
      </c>
      <c r="H17" s="237"/>
      <c r="I17" s="206"/>
      <c r="J17" s="207"/>
      <c r="K17" s="207"/>
      <c r="L17" s="207"/>
      <c r="M17" s="207"/>
      <c r="N17" s="207"/>
      <c r="O17" s="207"/>
      <c r="P17" s="208"/>
    </row>
    <row r="18" spans="1:16" ht="15.75">
      <c r="A18" s="192">
        <f>'Timesheet-Regular'!C25</f>
        <v>44385</v>
      </c>
      <c r="B18" s="72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2">
        <f>IF(B18&gt;0,'Timesheet-Regular'!E25,0)</f>
        <v>0</v>
      </c>
      <c r="D18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6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9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9">
        <f t="shared" si="0"/>
        <v>0</v>
      </c>
      <c r="H18" s="236">
        <f>SUM(Sheet2!D18:D19)</f>
        <v>0</v>
      </c>
      <c r="I18" s="206"/>
      <c r="J18" s="207"/>
      <c r="K18" s="207"/>
      <c r="L18" s="207"/>
      <c r="M18" s="207"/>
      <c r="N18" s="207"/>
      <c r="O18" s="207"/>
      <c r="P18" s="208"/>
    </row>
    <row r="19" spans="1:16" ht="15.75">
      <c r="A19" s="193"/>
      <c r="B19" s="72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2">
        <f>IF(B19&gt;0,'Timesheet-Regular'!E26,0)</f>
        <v>0</v>
      </c>
      <c r="D19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7"/>
      <c r="F19" s="79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9">
        <f t="shared" si="0"/>
        <v>0</v>
      </c>
      <c r="H19" s="237"/>
      <c r="I19" s="206"/>
      <c r="J19" s="207"/>
      <c r="K19" s="207"/>
      <c r="L19" s="207"/>
      <c r="M19" s="207"/>
      <c r="N19" s="207"/>
      <c r="O19" s="207"/>
      <c r="P19" s="208"/>
    </row>
    <row r="20" spans="1:16" ht="15.75">
      <c r="A20" s="192">
        <f>'Timesheet-Regular'!C27</f>
        <v>44386</v>
      </c>
      <c r="B20" s="72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2">
        <f>IF(B20&gt;0,'Timesheet-Regular'!E27,0)</f>
        <v>0</v>
      </c>
      <c r="D20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6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9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9">
        <f t="shared" si="0"/>
        <v>0</v>
      </c>
      <c r="H20" s="236">
        <f>SUM(Sheet2!D20:D21)</f>
        <v>0</v>
      </c>
      <c r="I20" s="206"/>
      <c r="J20" s="207"/>
      <c r="K20" s="207"/>
      <c r="L20" s="207"/>
      <c r="M20" s="207"/>
      <c r="N20" s="207"/>
      <c r="O20" s="207"/>
      <c r="P20" s="208"/>
    </row>
    <row r="21" spans="1:16" ht="15.75">
      <c r="A21" s="193"/>
      <c r="B21" s="72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2">
        <f>IF(B21&gt;0,'Timesheet-Regular'!E28,0)</f>
        <v>0</v>
      </c>
      <c r="D21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7"/>
      <c r="F21" s="79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9">
        <f t="shared" si="0"/>
        <v>0</v>
      </c>
      <c r="H21" s="237"/>
      <c r="I21" s="206"/>
      <c r="J21" s="207"/>
      <c r="K21" s="207"/>
      <c r="L21" s="207"/>
      <c r="M21" s="207"/>
      <c r="N21" s="207"/>
      <c r="O21" s="207"/>
      <c r="P21" s="208"/>
    </row>
    <row r="22" spans="1:16" ht="15.75">
      <c r="A22" s="192">
        <f>'Timesheet-Regular'!C29</f>
        <v>44387</v>
      </c>
      <c r="B22" s="72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2">
        <f>IF(B22&gt;0,'Timesheet-Regular'!E29,0)</f>
        <v>0</v>
      </c>
      <c r="D22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6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9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9">
        <f t="shared" si="0"/>
        <v>0</v>
      </c>
      <c r="H22" s="236">
        <f>SUM(Sheet2!D22:D23)</f>
        <v>0</v>
      </c>
      <c r="I22" s="206"/>
      <c r="J22" s="207"/>
      <c r="K22" s="207"/>
      <c r="L22" s="207"/>
      <c r="M22" s="207"/>
      <c r="N22" s="207"/>
      <c r="O22" s="207"/>
      <c r="P22" s="208"/>
    </row>
    <row r="23" spans="1:16" ht="15.75">
      <c r="A23" s="193"/>
      <c r="B23" s="72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2">
        <f>IF(B23&gt;0,'Timesheet-Regular'!E30,0)</f>
        <v>0</v>
      </c>
      <c r="D23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7"/>
      <c r="F23" s="79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9">
        <f t="shared" si="0"/>
        <v>0</v>
      </c>
      <c r="H23" s="237"/>
      <c r="I23" s="206"/>
      <c r="J23" s="207"/>
      <c r="K23" s="207"/>
      <c r="L23" s="207"/>
      <c r="M23" s="207"/>
      <c r="N23" s="207"/>
      <c r="O23" s="207"/>
      <c r="P23" s="208"/>
    </row>
    <row r="24" spans="1:16" ht="15.75">
      <c r="A24" s="192">
        <f>'Timesheet-Regular'!C31</f>
        <v>44388</v>
      </c>
      <c r="B24" s="72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2">
        <f>IF(B24&gt;0,'Timesheet-Regular'!E31,0)</f>
        <v>0</v>
      </c>
      <c r="D24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6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9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9">
        <f t="shared" si="0"/>
        <v>0</v>
      </c>
      <c r="H24" s="236">
        <f>SUM(Sheet2!D24:D25)</f>
        <v>0</v>
      </c>
      <c r="I24" s="206"/>
      <c r="J24" s="207"/>
      <c r="K24" s="207"/>
      <c r="L24" s="207"/>
      <c r="M24" s="207"/>
      <c r="N24" s="207"/>
      <c r="O24" s="207"/>
      <c r="P24" s="208"/>
    </row>
    <row r="25" spans="1:16" ht="15.75">
      <c r="A25" s="193"/>
      <c r="B25" s="72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2">
        <f>IF(B25&gt;0,'Timesheet-Regular'!E32,0)</f>
        <v>0</v>
      </c>
      <c r="D25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7"/>
      <c r="F25" s="79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9">
        <f t="shared" si="0"/>
        <v>0</v>
      </c>
      <c r="H25" s="237"/>
      <c r="I25" s="206"/>
      <c r="J25" s="207"/>
      <c r="K25" s="207"/>
      <c r="L25" s="207"/>
      <c r="M25" s="207"/>
      <c r="N25" s="207"/>
      <c r="O25" s="207"/>
      <c r="P25" s="208"/>
    </row>
    <row r="26" spans="1:16" ht="15.75">
      <c r="A26" s="192">
        <f>'Timesheet-Regular'!C33</f>
        <v>44389</v>
      </c>
      <c r="B26" s="72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2">
        <f>IF(B26&gt;0,'Timesheet-Regular'!E33,0)</f>
        <v>0</v>
      </c>
      <c r="D26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6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9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9">
        <f t="shared" si="0"/>
        <v>0</v>
      </c>
      <c r="H26" s="236">
        <f>SUM(Sheet2!D26:D27)</f>
        <v>0</v>
      </c>
      <c r="I26" s="206"/>
      <c r="J26" s="207"/>
      <c r="K26" s="207"/>
      <c r="L26" s="207"/>
      <c r="M26" s="207"/>
      <c r="N26" s="207"/>
      <c r="O26" s="207"/>
      <c r="P26" s="208"/>
    </row>
    <row r="27" spans="1:16" ht="15.75">
      <c r="A27" s="193"/>
      <c r="B27" s="72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2">
        <f>IF(B27&gt;0,'Timesheet-Regular'!E34,0)</f>
        <v>0</v>
      </c>
      <c r="D27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7"/>
      <c r="F27" s="79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9">
        <f t="shared" si="0"/>
        <v>0</v>
      </c>
      <c r="H27" s="237"/>
      <c r="I27" s="206"/>
      <c r="J27" s="207"/>
      <c r="K27" s="207"/>
      <c r="L27" s="207"/>
      <c r="M27" s="207"/>
      <c r="N27" s="207"/>
      <c r="O27" s="207"/>
      <c r="P27" s="208"/>
    </row>
    <row r="28" spans="1:16" ht="15.75">
      <c r="A28" s="192">
        <f>'Timesheet-Regular'!C35</f>
        <v>44390</v>
      </c>
      <c r="B28" s="72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2">
        <f>IF(B28&gt;0,'Timesheet-Regular'!E35,0)</f>
        <v>0</v>
      </c>
      <c r="D28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6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9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9">
        <f t="shared" si="0"/>
        <v>0</v>
      </c>
      <c r="H28" s="236">
        <f>SUM(Sheet2!D28:D29)</f>
        <v>0</v>
      </c>
      <c r="I28" s="206"/>
      <c r="J28" s="207"/>
      <c r="K28" s="207"/>
      <c r="L28" s="207"/>
      <c r="M28" s="207"/>
      <c r="N28" s="207"/>
      <c r="O28" s="207"/>
      <c r="P28" s="208"/>
    </row>
    <row r="29" spans="1:16" ht="15.75">
      <c r="A29" s="193"/>
      <c r="B29" s="72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2">
        <f>IF(B29&gt;0,'Timesheet-Regular'!E36,0)</f>
        <v>0</v>
      </c>
      <c r="D29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7"/>
      <c r="F29" s="79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9">
        <f t="shared" si="0"/>
        <v>0</v>
      </c>
      <c r="H29" s="237"/>
      <c r="I29" s="206"/>
      <c r="J29" s="207"/>
      <c r="K29" s="207"/>
      <c r="L29" s="207"/>
      <c r="M29" s="207"/>
      <c r="N29" s="207"/>
      <c r="O29" s="207"/>
      <c r="P29" s="208"/>
    </row>
    <row r="30" spans="1:16" ht="15.75">
      <c r="A30" s="192">
        <f>'Timesheet-Regular'!C37</f>
        <v>44391</v>
      </c>
      <c r="B30" s="72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2">
        <f>IF(B30&gt;0,'Timesheet-Regular'!E37,0)</f>
        <v>0</v>
      </c>
      <c r="D30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6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9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9">
        <f t="shared" si="0"/>
        <v>0</v>
      </c>
      <c r="H30" s="236">
        <f>SUM(Sheet2!D30:D31)</f>
        <v>0</v>
      </c>
      <c r="I30" s="206"/>
      <c r="J30" s="207"/>
      <c r="K30" s="207"/>
      <c r="L30" s="207"/>
      <c r="M30" s="207"/>
      <c r="N30" s="207"/>
      <c r="O30" s="207"/>
      <c r="P30" s="208"/>
    </row>
    <row r="31" spans="1:16" ht="15.75">
      <c r="A31" s="193"/>
      <c r="B31" s="72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2">
        <f>IF(B31&gt;0,'Timesheet-Regular'!E38,0)</f>
        <v>0</v>
      </c>
      <c r="D31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7"/>
      <c r="F31" s="79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9">
        <f t="shared" si="0"/>
        <v>0</v>
      </c>
      <c r="H31" s="237"/>
      <c r="I31" s="206"/>
      <c r="J31" s="207"/>
      <c r="K31" s="207"/>
      <c r="L31" s="207"/>
      <c r="M31" s="207"/>
      <c r="N31" s="207"/>
      <c r="O31" s="207"/>
      <c r="P31" s="208"/>
    </row>
    <row r="32" spans="1:16" ht="15.75">
      <c r="A32" s="192">
        <f>'Timesheet-Regular'!C39</f>
        <v>44392</v>
      </c>
      <c r="B32" s="72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2">
        <f>IF(B32&gt;0,'Timesheet-Regular'!E39,0)</f>
        <v>0</v>
      </c>
      <c r="D32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6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9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9">
        <f t="shared" si="0"/>
        <v>0</v>
      </c>
      <c r="H32" s="236">
        <f>SUM(Sheet2!D32:D33)</f>
        <v>0</v>
      </c>
      <c r="I32" s="206"/>
      <c r="J32" s="207"/>
      <c r="K32" s="207"/>
      <c r="L32" s="207"/>
      <c r="M32" s="207"/>
      <c r="N32" s="207"/>
      <c r="O32" s="207"/>
      <c r="P32" s="208"/>
    </row>
    <row r="33" spans="1:16" ht="15.75">
      <c r="A33" s="193"/>
      <c r="B33" s="72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2">
        <f>IF(B33&gt;0,'Timesheet-Regular'!E40,0)</f>
        <v>0</v>
      </c>
      <c r="D33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7"/>
      <c r="F33" s="79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9">
        <f t="shared" si="0"/>
        <v>0</v>
      </c>
      <c r="H33" s="237"/>
      <c r="I33" s="206"/>
      <c r="J33" s="207"/>
      <c r="K33" s="207"/>
      <c r="L33" s="207"/>
      <c r="M33" s="207"/>
      <c r="N33" s="207"/>
      <c r="O33" s="207"/>
      <c r="P33" s="208"/>
    </row>
    <row r="34" spans="1:16" ht="15.75">
      <c r="A34" s="192">
        <f>'Timesheet-Regular'!C41</f>
        <v>44393</v>
      </c>
      <c r="B34" s="72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2">
        <f>IF(B34&gt;0,'Timesheet-Regular'!E41,0)</f>
        <v>0</v>
      </c>
      <c r="D34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6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9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9">
        <f t="shared" si="0"/>
        <v>0</v>
      </c>
      <c r="H34" s="236">
        <f>SUM(Sheet2!D34:D35)</f>
        <v>0</v>
      </c>
      <c r="I34" s="206"/>
      <c r="J34" s="207"/>
      <c r="K34" s="207"/>
      <c r="L34" s="207"/>
      <c r="M34" s="207"/>
      <c r="N34" s="207"/>
      <c r="O34" s="207"/>
      <c r="P34" s="208"/>
    </row>
    <row r="35" spans="1:16" ht="15.75">
      <c r="A35" s="193"/>
      <c r="B35" s="72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2">
        <f>IF(B35&gt;0,'Timesheet-Regular'!E42,0)</f>
        <v>0</v>
      </c>
      <c r="D35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7"/>
      <c r="F35" s="79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9">
        <f t="shared" si="0"/>
        <v>0</v>
      </c>
      <c r="H35" s="237"/>
      <c r="I35" s="206"/>
      <c r="J35" s="207"/>
      <c r="K35" s="207"/>
      <c r="L35" s="207"/>
      <c r="M35" s="207"/>
      <c r="N35" s="207"/>
      <c r="O35" s="207"/>
      <c r="P35" s="208"/>
    </row>
    <row r="36" spans="1:16" ht="15.75">
      <c r="A36" s="192">
        <f>'Timesheet-Regular'!C43</f>
        <v>44394</v>
      </c>
      <c r="B36" s="72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2">
        <f>IF(B36&gt;0,'Timesheet-Regular'!E43,0)</f>
        <v>0</v>
      </c>
      <c r="D36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6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9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9">
        <f t="shared" si="0"/>
        <v>0</v>
      </c>
      <c r="H36" s="236">
        <f>SUM(Sheet2!D36:D37)</f>
        <v>0</v>
      </c>
      <c r="I36" s="206"/>
      <c r="J36" s="207"/>
      <c r="K36" s="207"/>
      <c r="L36" s="207"/>
      <c r="M36" s="207"/>
      <c r="N36" s="207"/>
      <c r="O36" s="207"/>
      <c r="P36" s="208"/>
    </row>
    <row r="37" spans="1:16" ht="15.75">
      <c r="A37" s="193"/>
      <c r="B37" s="72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2">
        <f>IF(B37&gt;0,'Timesheet-Regular'!E44,0)</f>
        <v>0</v>
      </c>
      <c r="D37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7"/>
      <c r="F37" s="79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9">
        <f t="shared" si="0"/>
        <v>0</v>
      </c>
      <c r="H37" s="237"/>
      <c r="I37" s="206"/>
      <c r="J37" s="207"/>
      <c r="K37" s="207"/>
      <c r="L37" s="207"/>
      <c r="M37" s="207"/>
      <c r="N37" s="207"/>
      <c r="O37" s="207"/>
      <c r="P37" s="208"/>
    </row>
    <row r="38" spans="1:16" ht="15.75">
      <c r="A38" s="192">
        <f>'Timesheet-Regular'!C45</f>
        <v>44395</v>
      </c>
      <c r="B38" s="72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2">
        <f>IF(B38&gt;0,'Timesheet-Regular'!E45,0)</f>
        <v>0</v>
      </c>
      <c r="D38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6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9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9">
        <f t="shared" si="0"/>
        <v>0</v>
      </c>
      <c r="H38" s="236">
        <f>SUM(Sheet2!D38:D39)</f>
        <v>0</v>
      </c>
      <c r="I38" s="206"/>
      <c r="J38" s="207"/>
      <c r="K38" s="207"/>
      <c r="L38" s="207"/>
      <c r="M38" s="207"/>
      <c r="N38" s="207"/>
      <c r="O38" s="207"/>
      <c r="P38" s="208"/>
    </row>
    <row r="39" spans="1:16" ht="15.75">
      <c r="A39" s="193"/>
      <c r="B39" s="72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2">
        <f>IF(B39&gt;0,'Timesheet-Regular'!E46,0)</f>
        <v>0</v>
      </c>
      <c r="D39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7"/>
      <c r="F39" s="79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9">
        <f t="shared" si="0"/>
        <v>0</v>
      </c>
      <c r="H39" s="237"/>
      <c r="I39" s="206"/>
      <c r="J39" s="207"/>
      <c r="K39" s="207"/>
      <c r="L39" s="207"/>
      <c r="M39" s="207"/>
      <c r="N39" s="207"/>
      <c r="O39" s="207"/>
      <c r="P39" s="208"/>
    </row>
    <row r="40" spans="1:16" ht="15.75">
      <c r="A40" s="192">
        <f>'Timesheet-Regular'!C47</f>
        <v>44396</v>
      </c>
      <c r="B40" s="72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2">
        <f>IF(B40&gt;0,'Timesheet-Regular'!E47,0)</f>
        <v>0</v>
      </c>
      <c r="D40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6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9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9">
        <f t="shared" si="0"/>
        <v>0</v>
      </c>
      <c r="H40" s="236">
        <f>SUM(Sheet2!D40:D41)</f>
        <v>0</v>
      </c>
      <c r="I40" s="206"/>
      <c r="J40" s="207"/>
      <c r="K40" s="207"/>
      <c r="L40" s="207"/>
      <c r="M40" s="207"/>
      <c r="N40" s="207"/>
      <c r="O40" s="207"/>
      <c r="P40" s="208"/>
    </row>
    <row r="41" spans="1:16" ht="15.75">
      <c r="A41" s="193"/>
      <c r="B41" s="72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2">
        <f>IF(B41&gt;0,'Timesheet-Regular'!E48,0)</f>
        <v>0</v>
      </c>
      <c r="D41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7"/>
      <c r="F41" s="79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9">
        <f t="shared" si="0"/>
        <v>0</v>
      </c>
      <c r="H41" s="237"/>
      <c r="I41" s="206"/>
      <c r="J41" s="207"/>
      <c r="K41" s="207"/>
      <c r="L41" s="207"/>
      <c r="M41" s="207"/>
      <c r="N41" s="207"/>
      <c r="O41" s="207"/>
      <c r="P41" s="208"/>
    </row>
    <row r="42" spans="1:16" ht="15.75">
      <c r="A42" s="192">
        <f>'Timesheet-Regular'!C49</f>
        <v>44397</v>
      </c>
      <c r="B42" s="72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2">
        <f>IF(B42&gt;0,'Timesheet-Regular'!E49,0)</f>
        <v>0</v>
      </c>
      <c r="D42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6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9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9">
        <f t="shared" si="0"/>
        <v>0</v>
      </c>
      <c r="H42" s="236">
        <f>SUM(Sheet2!D42:D43)</f>
        <v>0</v>
      </c>
      <c r="I42" s="206"/>
      <c r="J42" s="207"/>
      <c r="K42" s="207"/>
      <c r="L42" s="207"/>
      <c r="M42" s="207"/>
      <c r="N42" s="207"/>
      <c r="O42" s="207"/>
      <c r="P42" s="208"/>
    </row>
    <row r="43" spans="1:16" ht="15.75">
      <c r="A43" s="193"/>
      <c r="B43" s="72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2">
        <f>IF(B43&gt;0,'Timesheet-Regular'!E50,0)</f>
        <v>0</v>
      </c>
      <c r="D43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7"/>
      <c r="F43" s="79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9">
        <f t="shared" si="0"/>
        <v>0</v>
      </c>
      <c r="H43" s="237"/>
      <c r="I43" s="206"/>
      <c r="J43" s="207"/>
      <c r="K43" s="207"/>
      <c r="L43" s="207"/>
      <c r="M43" s="207"/>
      <c r="N43" s="207"/>
      <c r="O43" s="207"/>
      <c r="P43" s="208"/>
    </row>
    <row r="44" spans="1:16" ht="15.75">
      <c r="A44" s="192">
        <f>'Timesheet-Regular'!C51</f>
        <v>44398</v>
      </c>
      <c r="B44" s="72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2">
        <f>IF(B44&gt;0,'Timesheet-Regular'!E51,0)</f>
        <v>0</v>
      </c>
      <c r="D44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6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9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9">
        <f t="shared" si="0"/>
        <v>0</v>
      </c>
      <c r="H44" s="236">
        <f>SUM(Sheet2!D44:D45)</f>
        <v>0</v>
      </c>
      <c r="I44" s="206"/>
      <c r="J44" s="207"/>
      <c r="K44" s="207"/>
      <c r="L44" s="207"/>
      <c r="M44" s="207"/>
      <c r="N44" s="207"/>
      <c r="O44" s="207"/>
      <c r="P44" s="208"/>
    </row>
    <row r="45" spans="1:16" ht="15.75">
      <c r="A45" s="193"/>
      <c r="B45" s="72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2">
        <f>IF(B45&gt;0,'Timesheet-Regular'!E52,0)</f>
        <v>0</v>
      </c>
      <c r="D45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7"/>
      <c r="F45" s="79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9">
        <f t="shared" si="0"/>
        <v>0</v>
      </c>
      <c r="H45" s="237"/>
      <c r="I45" s="206"/>
      <c r="J45" s="207"/>
      <c r="K45" s="207"/>
      <c r="L45" s="207"/>
      <c r="M45" s="207"/>
      <c r="N45" s="207"/>
      <c r="O45" s="207"/>
      <c r="P45" s="208"/>
    </row>
    <row r="46" spans="1:16" ht="15.75">
      <c r="A46" s="192">
        <f>'Timesheet-Regular'!C53</f>
        <v>44399</v>
      </c>
      <c r="B46" s="72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2">
        <f>IF(B46&gt;0,'Timesheet-Regular'!E53,0)</f>
        <v>0</v>
      </c>
      <c r="D46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6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9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9">
        <f t="shared" si="0"/>
        <v>0</v>
      </c>
      <c r="H46" s="236">
        <f>SUM(Sheet2!D46:D47)</f>
        <v>0</v>
      </c>
      <c r="I46" s="206"/>
      <c r="J46" s="207"/>
      <c r="K46" s="207"/>
      <c r="L46" s="207"/>
      <c r="M46" s="207"/>
      <c r="N46" s="207"/>
      <c r="O46" s="207"/>
      <c r="P46" s="208"/>
    </row>
    <row r="47" spans="1:16" ht="15.75">
      <c r="A47" s="193"/>
      <c r="B47" s="72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2">
        <f>IF(B47&gt;0,'Timesheet-Regular'!E54,0)</f>
        <v>0</v>
      </c>
      <c r="D47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7"/>
      <c r="F47" s="79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9">
        <f t="shared" si="0"/>
        <v>0</v>
      </c>
      <c r="H47" s="237"/>
      <c r="I47" s="206"/>
      <c r="J47" s="207"/>
      <c r="K47" s="207"/>
      <c r="L47" s="207"/>
      <c r="M47" s="207"/>
      <c r="N47" s="207"/>
      <c r="O47" s="207"/>
      <c r="P47" s="208"/>
    </row>
    <row r="48" spans="1:16" ht="15.75">
      <c r="A48" s="192">
        <f>'Timesheet-Regular'!C55</f>
        <v>44400</v>
      </c>
      <c r="B48" s="72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2">
        <f>IF(B48&gt;0,'Timesheet-Regular'!E55,0)</f>
        <v>0</v>
      </c>
      <c r="D48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6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9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9">
        <f t="shared" si="0"/>
        <v>0</v>
      </c>
      <c r="H48" s="236">
        <f>SUM(Sheet2!D48:D49)</f>
        <v>0</v>
      </c>
      <c r="I48" s="206"/>
      <c r="J48" s="207"/>
      <c r="K48" s="207"/>
      <c r="L48" s="207"/>
      <c r="M48" s="207"/>
      <c r="N48" s="207"/>
      <c r="O48" s="207"/>
      <c r="P48" s="208"/>
    </row>
    <row r="49" spans="1:16" ht="15.75">
      <c r="A49" s="193"/>
      <c r="B49" s="72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2">
        <f>IF(B49&gt;0,'Timesheet-Regular'!E56,0)</f>
        <v>0</v>
      </c>
      <c r="D49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7"/>
      <c r="F49" s="79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9">
        <f t="shared" si="0"/>
        <v>0</v>
      </c>
      <c r="H49" s="237"/>
      <c r="I49" s="206"/>
      <c r="J49" s="207"/>
      <c r="K49" s="207"/>
      <c r="L49" s="207"/>
      <c r="M49" s="207"/>
      <c r="N49" s="207"/>
      <c r="O49" s="207"/>
      <c r="P49" s="208"/>
    </row>
    <row r="50" spans="1:16" ht="15.75">
      <c r="A50" s="192">
        <f>'Timesheet-Regular'!C57</f>
        <v>44401</v>
      </c>
      <c r="B50" s="72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2">
        <f>IF(B50&gt;0,'Timesheet-Regular'!E57,0)</f>
        <v>0</v>
      </c>
      <c r="D50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6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9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9">
        <f t="shared" si="0"/>
        <v>0</v>
      </c>
      <c r="H50" s="236">
        <f>SUM(Sheet2!D50:D51)</f>
        <v>0</v>
      </c>
      <c r="I50" s="206"/>
      <c r="J50" s="207"/>
      <c r="K50" s="207"/>
      <c r="L50" s="207"/>
      <c r="M50" s="207"/>
      <c r="N50" s="207"/>
      <c r="O50" s="207"/>
      <c r="P50" s="208"/>
    </row>
    <row r="51" spans="1:16" ht="15.75">
      <c r="A51" s="193"/>
      <c r="B51" s="72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2">
        <f>IF(B51&gt;0,'Timesheet-Regular'!E58,0)</f>
        <v>0</v>
      </c>
      <c r="D51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7"/>
      <c r="F51" s="79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9">
        <f t="shared" si="0"/>
        <v>0</v>
      </c>
      <c r="H51" s="237"/>
      <c r="I51" s="206"/>
      <c r="J51" s="207"/>
      <c r="K51" s="207"/>
      <c r="L51" s="207"/>
      <c r="M51" s="207"/>
      <c r="N51" s="207"/>
      <c r="O51" s="207"/>
      <c r="P51" s="208"/>
    </row>
    <row r="52" spans="1:16" ht="15.75">
      <c r="A52" s="192">
        <f>'Timesheet-Regular'!C59</f>
        <v>44402</v>
      </c>
      <c r="B52" s="72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2">
        <f>IF(B52&gt;0,'Timesheet-Regular'!E59,0)</f>
        <v>0</v>
      </c>
      <c r="D52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6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9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9">
        <f t="shared" si="0"/>
        <v>0</v>
      </c>
      <c r="H52" s="236">
        <f>SUM(Sheet2!D52:D53)</f>
        <v>0</v>
      </c>
      <c r="I52" s="206"/>
      <c r="J52" s="207"/>
      <c r="K52" s="207"/>
      <c r="L52" s="207"/>
      <c r="M52" s="207"/>
      <c r="N52" s="207"/>
      <c r="O52" s="207"/>
      <c r="P52" s="208"/>
    </row>
    <row r="53" spans="1:16" ht="15.75">
      <c r="A53" s="193"/>
      <c r="B53" s="72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2">
        <f>IF(B53&gt;0,'Timesheet-Regular'!E60,0)</f>
        <v>0</v>
      </c>
      <c r="D53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7"/>
      <c r="F53" s="79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9">
        <f t="shared" si="0"/>
        <v>0</v>
      </c>
      <c r="H53" s="237"/>
      <c r="I53" s="206"/>
      <c r="J53" s="207"/>
      <c r="K53" s="207"/>
      <c r="L53" s="207"/>
      <c r="M53" s="207"/>
      <c r="N53" s="207"/>
      <c r="O53" s="207"/>
      <c r="P53" s="208"/>
    </row>
    <row r="54" spans="1:16" ht="15.75">
      <c r="A54" s="192">
        <f>'Timesheet-Regular'!C61</f>
        <v>44403</v>
      </c>
      <c r="B54" s="72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2">
        <f>IF(B54&gt;0,'Timesheet-Regular'!E61,0)</f>
        <v>0</v>
      </c>
      <c r="D54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6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9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9">
        <f t="shared" si="0"/>
        <v>0</v>
      </c>
      <c r="H54" s="236">
        <f>SUM(Sheet2!D54:D55)</f>
        <v>0</v>
      </c>
      <c r="I54" s="206"/>
      <c r="J54" s="207"/>
      <c r="K54" s="207"/>
      <c r="L54" s="207"/>
      <c r="M54" s="207"/>
      <c r="N54" s="207"/>
      <c r="O54" s="207"/>
      <c r="P54" s="208"/>
    </row>
    <row r="55" spans="1:16" ht="15.75">
      <c r="A55" s="193"/>
      <c r="B55" s="72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2">
        <f>IF(B55&gt;0,'Timesheet-Regular'!E62,0)</f>
        <v>0</v>
      </c>
      <c r="D55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7"/>
      <c r="F55" s="79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9">
        <f t="shared" si="0"/>
        <v>0</v>
      </c>
      <c r="H55" s="237"/>
      <c r="I55" s="206"/>
      <c r="J55" s="207"/>
      <c r="K55" s="207"/>
      <c r="L55" s="207"/>
      <c r="M55" s="207"/>
      <c r="N55" s="207"/>
      <c r="O55" s="207"/>
      <c r="P55" s="208"/>
    </row>
    <row r="56" spans="1:16" ht="15.75">
      <c r="A56" s="192">
        <f>'Timesheet-Regular'!C63</f>
        <v>44404</v>
      </c>
      <c r="B56" s="72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2">
        <f>IF(B56&gt;0,'Timesheet-Regular'!E63,0)</f>
        <v>0</v>
      </c>
      <c r="D56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6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9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9">
        <f t="shared" si="0"/>
        <v>0</v>
      </c>
      <c r="H56" s="236">
        <f>SUM(Sheet2!D56:D57)</f>
        <v>0</v>
      </c>
      <c r="I56" s="206"/>
      <c r="J56" s="207"/>
      <c r="K56" s="207"/>
      <c r="L56" s="207"/>
      <c r="M56" s="207"/>
      <c r="N56" s="207"/>
      <c r="O56" s="207"/>
      <c r="P56" s="208"/>
    </row>
    <row r="57" spans="1:16" ht="15.75">
      <c r="A57" s="193"/>
      <c r="B57" s="72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2">
        <f>IF(B57&gt;0,'Timesheet-Regular'!E64,0)</f>
        <v>0</v>
      </c>
      <c r="D57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7"/>
      <c r="F57" s="79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9">
        <f t="shared" si="0"/>
        <v>0</v>
      </c>
      <c r="H57" s="237"/>
      <c r="I57" s="206"/>
      <c r="J57" s="207"/>
      <c r="K57" s="207"/>
      <c r="L57" s="207"/>
      <c r="M57" s="207"/>
      <c r="N57" s="207"/>
      <c r="O57" s="207"/>
      <c r="P57" s="208"/>
    </row>
    <row r="58" spans="1:16" ht="15.75">
      <c r="A58" s="192">
        <f>'Timesheet-Regular'!C65</f>
        <v>44405</v>
      </c>
      <c r="B58" s="72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2">
        <f>IF(B58&gt;0,'Timesheet-Regular'!E65,0)</f>
        <v>0</v>
      </c>
      <c r="D58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6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9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9">
        <f t="shared" si="0"/>
        <v>0</v>
      </c>
      <c r="H58" s="236">
        <f>SUM(Sheet2!D58:D59)</f>
        <v>0</v>
      </c>
      <c r="I58" s="206"/>
      <c r="J58" s="207"/>
      <c r="K58" s="207"/>
      <c r="L58" s="207"/>
      <c r="M58" s="207"/>
      <c r="N58" s="207"/>
      <c r="O58" s="207"/>
      <c r="P58" s="208"/>
    </row>
    <row r="59" spans="1:16" ht="15.75">
      <c r="A59" s="193"/>
      <c r="B59" s="72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2">
        <f>IF(B59&gt;0,'Timesheet-Regular'!E66,0)</f>
        <v>0</v>
      </c>
      <c r="D59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7"/>
      <c r="F59" s="79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9">
        <f t="shared" si="0"/>
        <v>0</v>
      </c>
      <c r="H59" s="237"/>
      <c r="I59" s="206"/>
      <c r="J59" s="207"/>
      <c r="K59" s="207"/>
      <c r="L59" s="207"/>
      <c r="M59" s="207"/>
      <c r="N59" s="207"/>
      <c r="O59" s="207"/>
      <c r="P59" s="208"/>
    </row>
    <row r="60" spans="1:16" ht="15.75">
      <c r="A60" s="192">
        <f>'Timesheet-Regular'!C67</f>
        <v>44406</v>
      </c>
      <c r="B60" s="72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2">
        <f>IF(B60&gt;0,'Timesheet-Regular'!E67,0)</f>
        <v>0</v>
      </c>
      <c r="D60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6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9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9">
        <f t="shared" si="0"/>
        <v>0</v>
      </c>
      <c r="H60" s="236">
        <f>SUM(Sheet2!D60:D61)</f>
        <v>0</v>
      </c>
      <c r="I60" s="206"/>
      <c r="J60" s="207"/>
      <c r="K60" s="207"/>
      <c r="L60" s="207"/>
      <c r="M60" s="207"/>
      <c r="N60" s="207"/>
      <c r="O60" s="207"/>
      <c r="P60" s="208"/>
    </row>
    <row r="61" spans="1:16" ht="15.75">
      <c r="A61" s="193"/>
      <c r="B61" s="72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2">
        <f>IF(B61&gt;0,'Timesheet-Regular'!E68,0)</f>
        <v>0</v>
      </c>
      <c r="D61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7"/>
      <c r="F61" s="79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9">
        <f t="shared" si="0"/>
        <v>0</v>
      </c>
      <c r="H61" s="237"/>
      <c r="I61" s="206"/>
      <c r="J61" s="207"/>
      <c r="K61" s="207"/>
      <c r="L61" s="207"/>
      <c r="M61" s="207"/>
      <c r="N61" s="207"/>
      <c r="O61" s="207"/>
      <c r="P61" s="208"/>
    </row>
    <row r="62" spans="1:16" ht="15.75">
      <c r="A62" s="192">
        <f>'Timesheet-Regular'!C69</f>
        <v>44407</v>
      </c>
      <c r="B62" s="72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2">
        <f>IF(B62&gt;0,'Timesheet-Regular'!E69,0)</f>
        <v>0</v>
      </c>
      <c r="D62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6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9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9">
        <f t="shared" si="0"/>
        <v>0</v>
      </c>
      <c r="H62" s="236">
        <f>SUM(Sheet2!D62:D63)</f>
        <v>0</v>
      </c>
      <c r="I62" s="206"/>
      <c r="J62" s="207"/>
      <c r="K62" s="207"/>
      <c r="L62" s="207"/>
      <c r="M62" s="207"/>
      <c r="N62" s="207"/>
      <c r="O62" s="207"/>
      <c r="P62" s="208"/>
    </row>
    <row r="63" spans="1:16" ht="15.75">
      <c r="A63" s="193"/>
      <c r="B63" s="72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2">
        <f>IF(B63&gt;0,'Timesheet-Regular'!E70,0)</f>
        <v>0</v>
      </c>
      <c r="D63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7"/>
      <c r="F63" s="79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9">
        <f t="shared" si="0"/>
        <v>0</v>
      </c>
      <c r="H63" s="237"/>
      <c r="I63" s="206"/>
      <c r="J63" s="207"/>
      <c r="K63" s="207"/>
      <c r="L63" s="207"/>
      <c r="M63" s="207"/>
      <c r="N63" s="207"/>
      <c r="O63" s="207"/>
      <c r="P63" s="208"/>
    </row>
    <row r="64" spans="1:16" ht="15.75">
      <c r="A64" s="192">
        <f>'Timesheet-Regular'!C71</f>
        <v>44408</v>
      </c>
      <c r="B64" s="72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2">
        <f>IF(B64&gt;0,'Timesheet-Regular'!E71,0)</f>
        <v>0</v>
      </c>
      <c r="D64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6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9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9">
        <f t="shared" si="0"/>
        <v>0</v>
      </c>
      <c r="H64" s="236">
        <f>SUM(Sheet2!D64:D65)</f>
        <v>0</v>
      </c>
      <c r="I64" s="206"/>
      <c r="J64" s="207"/>
      <c r="K64" s="207"/>
      <c r="L64" s="207"/>
      <c r="M64" s="207"/>
      <c r="N64" s="207"/>
      <c r="O64" s="207"/>
      <c r="P64" s="208"/>
    </row>
    <row r="65" spans="1:16" ht="15.75">
      <c r="A65" s="193"/>
      <c r="B65" s="72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2">
        <f>IF(B65&gt;0,'Timesheet-Regular'!E72,0)</f>
        <v>0</v>
      </c>
      <c r="D65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7"/>
      <c r="F65" s="79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9">
        <f t="shared" si="0"/>
        <v>0</v>
      </c>
      <c r="H65" s="237"/>
      <c r="I65" s="206"/>
      <c r="J65" s="207"/>
      <c r="K65" s="207"/>
      <c r="L65" s="207"/>
      <c r="M65" s="207"/>
      <c r="N65" s="207"/>
      <c r="O65" s="207"/>
      <c r="P65" s="208"/>
    </row>
  </sheetData>
  <sheetProtection algorithmName="SHA-512" hashValue="2lYqnZC0zsdJ07hdqw2rIL/+0/oBZ+ql+3b0F2AkGJdd5CamxMX9kQXBdLuMbAeXIWXE+tnsnHVzwkF/zwL+7g==" saltValue="tK6JobwrUAFjLp3wLTNxoQ==" spinCount="100000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2021-07-05T03:41:09Z</dcterms:modified>
</cp:coreProperties>
</file>